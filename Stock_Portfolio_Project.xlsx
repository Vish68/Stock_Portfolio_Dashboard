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7"/>
  <workbookPr defaultThemeVersion="202300"/>
  <mc:AlternateContent xmlns:mc="http://schemas.openxmlformats.org/markup-compatibility/2006">
    <mc:Choice Requires="x15">
      <x15ac:absPath xmlns:x15ac="http://schemas.microsoft.com/office/spreadsheetml/2010/11/ac" url="https://d.docs.live.net/0d5f0fda2f6f0ad9/Documents/"/>
    </mc:Choice>
  </mc:AlternateContent>
  <xr:revisionPtr revIDLastSave="1422" documentId="8_{39C184EB-DDD0-46AA-9919-5BFA44DD09FB}" xr6:coauthVersionLast="47" xr6:coauthVersionMax="47" xr10:uidLastSave="{0DB7CCBE-E53D-4504-86AA-C7717E94C400}"/>
  <workbookProtection workbookAlgorithmName="SHA-512" workbookHashValue="jrfLt5lBf6uDucOCan6xH/972wEvTOF+tF/fw/ZP2D3GQPD5ERZq9v68B1LRvnvESlVaoRGdZJq4xAiAFnEVgw==" workbookSaltValue="laEAkcYGhJkm19Ki/39BRg==" workbookSpinCount="100000" lockStructure="1"/>
  <bookViews>
    <workbookView xWindow="-103" yWindow="-103" windowWidth="22149" windowHeight="13200" xr2:uid="{10F9A7C3-9A1A-4A0C-8CCC-FB3616C9AD85}"/>
  </bookViews>
  <sheets>
    <sheet name="Dashboard" sheetId="3" r:id="rId1"/>
    <sheet name="Ledger" sheetId="2" r:id="rId2"/>
    <sheet name="Watchlist" sheetId="1" r:id="rId3"/>
    <sheet name="Dixon" sheetId="7" r:id="rId4"/>
    <sheet name="L&amp;T" sheetId="6" r:id="rId5"/>
  </sheets>
  <calcPr calcId="191029"/>
  <pivotCaches>
    <pivotCache cacheId="24"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3" i="3" l="1" a="1"/>
  <c r="L13" i="3" s="1"/>
  <c r="G11" i="2"/>
  <c r="B6" i="1" a="1"/>
  <c r="B6" i="1" s="1"/>
  <c r="C6" i="1" a="1"/>
  <c r="C6" i="1" s="1"/>
  <c r="D6" i="1" a="1"/>
  <c r="D6" i="1" s="1"/>
  <c r="E6" i="1" a="1"/>
  <c r="E6" i="1" s="1"/>
  <c r="F6" i="1" a="1"/>
  <c r="F6" i="1" s="1"/>
  <c r="G6" i="1" a="1"/>
  <c r="G6" i="1" s="1"/>
  <c r="H6" i="1" a="1"/>
  <c r="H6" i="1" s="1"/>
  <c r="L12" i="3" a="1"/>
  <c r="L12" i="3" s="1"/>
  <c r="B6" i="3" a="1"/>
  <c r="A6" i="6" a="1"/>
  <c r="A6" i="6" s="1"/>
  <c r="A6" i="7" a="1"/>
  <c r="A6" i="7" s="1"/>
  <c r="C3" i="6" a="1"/>
  <c r="C3" i="6" s="1"/>
  <c r="H4" i="1" a="1"/>
  <c r="H4" i="1" s="1"/>
  <c r="H5" i="1" a="1"/>
  <c r="H5" i="1" s="1"/>
  <c r="G4" i="1" a="1"/>
  <c r="G4" i="1" s="1"/>
  <c r="G5" i="1" a="1"/>
  <c r="G5" i="1" s="1"/>
  <c r="F4" i="1" a="1"/>
  <c r="F4" i="1" s="1"/>
  <c r="F5" i="1" a="1"/>
  <c r="F5" i="1" s="1"/>
  <c r="E4" i="1" a="1"/>
  <c r="E4" i="1" s="1"/>
  <c r="E5" i="1" a="1"/>
  <c r="E5" i="1" s="1"/>
  <c r="D4" i="1" a="1"/>
  <c r="D4" i="1" s="1"/>
  <c r="D5" i="1" a="1"/>
  <c r="D5" i="1" s="1"/>
  <c r="C4" i="1" a="1"/>
  <c r="C4" i="1" s="1"/>
  <c r="C5" i="1" a="1"/>
  <c r="C5" i="1" s="1"/>
  <c r="B4" i="1" a="1"/>
  <c r="B4" i="1" s="1"/>
  <c r="B5" i="1" a="1"/>
  <c r="B5" i="1" s="1"/>
  <c r="J2" i="3" a="1"/>
  <c r="J2" i="3" s="1"/>
  <c r="G4" i="2"/>
  <c r="G5" i="2"/>
  <c r="G6" i="2"/>
  <c r="G7" i="2"/>
  <c r="G8" i="2"/>
  <c r="G9" i="2"/>
  <c r="G10" i="2"/>
  <c r="C4" i="7" a="1"/>
  <c r="L10" i="3" a="1"/>
  <c r="L11" i="3" a="1"/>
  <c r="L7" i="3" a="1"/>
  <c r="L8" i="3" a="1"/>
  <c r="L9" i="3" a="1"/>
  <c r="B6" i="3" l="1"/>
  <c r="L9" i="3"/>
  <c r="L8" i="3"/>
  <c r="L7" i="3"/>
  <c r="L11" i="3"/>
  <c r="L10" i="3"/>
  <c r="C4" i="7"/>
  <c r="C6" i="3" l="1" a="1"/>
  <c r="D6" i="3" a="1"/>
  <c r="E6" i="3" a="1"/>
  <c r="L5" i="3" a="1"/>
  <c r="D6" i="3" l="1"/>
  <c r="L5" i="3"/>
  <c r="C6" i="3"/>
  <c r="B19" i="3" a="1"/>
  <c r="E6" i="3"/>
  <c r="B19" i="3" l="1"/>
  <c r="F6" i="3" a="1"/>
  <c r="G6" i="3" a="1"/>
  <c r="F6" i="3" l="1"/>
  <c r="C19" i="3" s="1" a="1"/>
  <c r="G6" i="3"/>
  <c r="G2" i="3" s="1"/>
  <c r="C19" i="3" l="1"/>
  <c r="H6" i="3" a="1"/>
  <c r="I6" i="3" a="1"/>
  <c r="F2" i="3"/>
  <c r="H2" i="3" s="1"/>
  <c r="H6" i="3" l="1"/>
  <c r="I6" i="3"/>
  <c r="I2"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532">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8"/>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futureMetadata>
  <cellMetadata count="1">
    <bk>
      <rc t="1" v="0"/>
    </bk>
  </cellMetadata>
  <valueMetadata count="253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valueMetadata>
</metadata>
</file>

<file path=xl/sharedStrings.xml><?xml version="1.0" encoding="utf-8"?>
<sst xmlns="http://schemas.openxmlformats.org/spreadsheetml/2006/main" count="67" uniqueCount="35">
  <si>
    <t>Current Holdings</t>
  </si>
  <si>
    <t>Industry</t>
  </si>
  <si>
    <t>Units</t>
  </si>
  <si>
    <t>Current Price</t>
  </si>
  <si>
    <t>Market Value</t>
  </si>
  <si>
    <t>Today's Change</t>
  </si>
  <si>
    <t>Gain/ (Loss)</t>
  </si>
  <si>
    <t>Last 12 Months</t>
  </si>
  <si>
    <t>Portfolio by Industry</t>
  </si>
  <si>
    <t>Stock (Exchange:Ticker)</t>
  </si>
  <si>
    <t>Date</t>
  </si>
  <si>
    <t>Stock</t>
  </si>
  <si>
    <t>Transaction</t>
  </si>
  <si>
    <t>Price</t>
  </si>
  <si>
    <t xml:space="preserve">Currency </t>
  </si>
  <si>
    <t>Transaction Amount</t>
  </si>
  <si>
    <t>52 week high</t>
  </si>
  <si>
    <t>Buy</t>
  </si>
  <si>
    <t>Sell</t>
  </si>
  <si>
    <t>Drip</t>
  </si>
  <si>
    <t>IND</t>
  </si>
  <si>
    <t>Unrealised Gain/(Loss)</t>
  </si>
  <si>
    <t>Ticker symbol</t>
  </si>
  <si>
    <t>52 week low</t>
  </si>
  <si>
    <t>P/E</t>
  </si>
  <si>
    <t>Change</t>
  </si>
  <si>
    <t>(All)</t>
  </si>
  <si>
    <t>XNSE</t>
  </si>
  <si>
    <t>DIXON</t>
  </si>
  <si>
    <t>LT</t>
  </si>
  <si>
    <t>Exchange</t>
  </si>
  <si>
    <t>XBOM</t>
  </si>
  <si>
    <t>500875</t>
  </si>
  <si>
    <t>STOCK PORTFOLIO DASHBOARD</t>
  </si>
  <si>
    <t xml:space="preserve">Total Holding              Market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</si>
</sst>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00_ ;_ [$₹-4009]\ * \-#,##0.00_ ;_ [$₹-4009]\ * &quot;-&quot;??_ ;_ @_ "/>
    <numFmt numFmtId="165" formatCode="&quot;₹&quot;\ #,##0.00;[Red]&quot;₹&quot;\ #,##0.00"/>
  </numFmts>
  <fonts count="9" x14ac:knownFonts="1">
    <font>
      <sz val="11"/>
      <color theme="1"/>
      <name val="Aptos Narrow"/>
      <family val="2"/>
      <scheme val="minor"/>
    </font>
    <font>
      <sz val="11"/>
      <color theme="1"/>
      <name val="Aptos Narrow"/>
      <family val="2"/>
      <scheme val="minor"/>
    </font>
    <font>
      <b/>
      <sz val="11"/>
      <color theme="0"/>
      <name val="Calibri"/>
      <family val="2"/>
    </font>
    <font>
      <b/>
      <sz val="14"/>
      <color theme="0"/>
      <name val="Calibri"/>
      <family val="2"/>
    </font>
    <font>
      <sz val="11"/>
      <color theme="1"/>
      <name val="Calibri"/>
      <family val="2"/>
    </font>
    <font>
      <b/>
      <sz val="11"/>
      <color theme="3" tint="0.249977111117893"/>
      <name val="Calibri"/>
      <family val="2"/>
    </font>
    <font>
      <sz val="11"/>
      <color theme="3" tint="0.249977111117893"/>
      <name val="Calibri"/>
      <family val="2"/>
    </font>
    <font>
      <sz val="11"/>
      <color theme="0"/>
      <name val="Calibri"/>
      <family val="2"/>
    </font>
    <font>
      <sz val="7"/>
      <color rgb="FFEEF0FF"/>
      <name val="Arial"/>
      <family val="2"/>
    </font>
  </fonts>
  <fills count="4">
    <fill>
      <patternFill patternType="none"/>
    </fill>
    <fill>
      <patternFill patternType="gray125"/>
    </fill>
    <fill>
      <patternFill patternType="solid">
        <fgColor theme="3" tint="0.249977111117893"/>
        <bgColor indexed="64"/>
      </patternFill>
    </fill>
    <fill>
      <patternFill patternType="solid">
        <fgColor theme="3" tint="0.749992370372631"/>
        <bgColor indexed="64"/>
      </patternFill>
    </fill>
  </fills>
  <borders count="2">
    <border>
      <left/>
      <right/>
      <top/>
      <bottom/>
      <diagonal/>
    </border>
    <border>
      <left/>
      <right/>
      <top/>
      <bottom style="medium">
        <color theme="3" tint="0.74999237037263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0" fillId="0" borderId="0" xfId="0" applyAlignment="1">
      <alignment horizontal="center"/>
    </xf>
    <xf numFmtId="164" fontId="0" fillId="0" borderId="0" xfId="0" applyNumberFormat="1"/>
    <xf numFmtId="2" fontId="0" fillId="0" borderId="0" xfId="1" applyNumberFormat="1" applyFont="1"/>
    <xf numFmtId="2" fontId="0" fillId="0" borderId="0" xfId="0" applyNumberFormat="1"/>
    <xf numFmtId="14" fontId="0" fillId="0" borderId="0" xfId="0" applyNumberFormat="1"/>
    <xf numFmtId="0" fontId="0" fillId="0" borderId="0" xfId="0" pivotButton="1"/>
    <xf numFmtId="0" fontId="3" fillId="2" borderId="0" xfId="0" applyFont="1" applyFill="1" applyAlignment="1" applyProtection="1">
      <alignment horizontal="left" vertical="center"/>
      <protection hidden="1"/>
    </xf>
    <xf numFmtId="0" fontId="2" fillId="2" borderId="0" xfId="0" applyFont="1" applyFill="1" applyAlignment="1" applyProtection="1">
      <alignment horizontal="left" vertical="center"/>
      <protection hidden="1"/>
    </xf>
    <xf numFmtId="0" fontId="4" fillId="2" borderId="0" xfId="0" applyFont="1" applyFill="1" applyProtection="1">
      <protection hidden="1"/>
    </xf>
    <xf numFmtId="0" fontId="7" fillId="2" borderId="0" xfId="0" applyFont="1" applyFill="1" applyAlignment="1" applyProtection="1">
      <alignment horizontal="center" wrapText="1"/>
      <protection hidden="1"/>
    </xf>
    <xf numFmtId="0" fontId="7" fillId="2" borderId="0" xfId="0" applyFont="1" applyFill="1" applyAlignment="1" applyProtection="1">
      <alignment horizontal="center" vertical="center"/>
      <protection hidden="1"/>
    </xf>
    <xf numFmtId="0" fontId="7" fillId="2" borderId="0" xfId="0" applyFont="1" applyFill="1" applyAlignment="1" applyProtection="1">
      <alignment horizontal="center" vertical="center"/>
      <protection hidden="1"/>
    </xf>
    <xf numFmtId="0" fontId="4" fillId="0" borderId="0" xfId="0" applyFont="1" applyProtection="1">
      <protection hidden="1"/>
    </xf>
    <xf numFmtId="165" fontId="2" fillId="2" borderId="0" xfId="0" applyNumberFormat="1" applyFont="1" applyFill="1" applyProtection="1">
      <protection hidden="1"/>
    </xf>
    <xf numFmtId="10" fontId="2" fillId="2" borderId="0" xfId="2" applyNumberFormat="1" applyFont="1" applyFill="1" applyProtection="1">
      <protection hidden="1"/>
    </xf>
    <xf numFmtId="165" fontId="2" fillId="2" borderId="0" xfId="0" applyNumberFormat="1" applyFont="1" applyFill="1" applyAlignment="1" applyProtection="1">
      <alignment horizontal="center"/>
      <protection hidden="1"/>
    </xf>
    <xf numFmtId="164" fontId="2" fillId="2" borderId="0" xfId="0" applyNumberFormat="1" applyFont="1" applyFill="1" applyAlignment="1" applyProtection="1">
      <alignment horizontal="center"/>
      <protection hidden="1"/>
    </xf>
    <xf numFmtId="0" fontId="8" fillId="0" borderId="0" xfId="0" applyFont="1" applyProtection="1">
      <protection hidden="1"/>
    </xf>
    <xf numFmtId="0" fontId="5" fillId="3" borderId="0" xfId="0" applyFont="1" applyFill="1" applyProtection="1">
      <protection hidden="1"/>
    </xf>
    <xf numFmtId="0" fontId="6" fillId="3" borderId="0" xfId="0" applyFont="1" applyFill="1" applyProtection="1">
      <protection hidden="1"/>
    </xf>
    <xf numFmtId="0" fontId="5" fillId="0" borderId="1" xfId="0" applyFont="1" applyBorder="1" applyProtection="1">
      <protection hidden="1"/>
    </xf>
    <xf numFmtId="0" fontId="5" fillId="0" borderId="1" xfId="0" applyFont="1" applyBorder="1" applyAlignment="1" applyProtection="1">
      <alignment horizontal="center"/>
      <protection hidden="1"/>
    </xf>
    <xf numFmtId="165" fontId="4" fillId="0" borderId="0" xfId="0" applyNumberFormat="1" applyFont="1" applyProtection="1">
      <protection hidden="1"/>
    </xf>
    <xf numFmtId="10" fontId="4" fillId="0" borderId="0" xfId="2" applyNumberFormat="1" applyFont="1" applyProtection="1">
      <protection hidden="1"/>
    </xf>
    <xf numFmtId="0" fontId="5" fillId="0" borderId="0" xfId="0" applyFont="1" applyProtection="1">
      <protection hidden="1"/>
    </xf>
    <xf numFmtId="0" fontId="4" fillId="0" borderId="0" xfId="0" applyFont="1" applyProtection="1"/>
  </cellXfs>
  <cellStyles count="3">
    <cellStyle name="Currency" xfId="1" builtinId="4"/>
    <cellStyle name="Normal" xfId="0" builtinId="0"/>
    <cellStyle name="Percent" xfId="2" builtinId="5"/>
  </cellStyles>
  <dxfs count="9">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0" formatCode="General"/>
    </dxf>
    <dxf>
      <numFmt numFmtId="2" formatCode="0.00"/>
    </dxf>
    <dxf>
      <alignment horizontal="center" vertical="bottom" textRotation="0" wrapText="0" indent="0" justifyLastLine="0" shrinkToFit="0" readingOrder="0"/>
    </dxf>
    <dxf>
      <numFmt numFmtId="2" formatCode="0.0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sz="1200" b="1"/>
              <a:t>Holding Market Value</a:t>
            </a:r>
            <a:r>
              <a:rPr lang="en-US" sz="1200" b="1" baseline="0"/>
              <a:t> by Industry</a:t>
            </a:r>
          </a:p>
        </c:rich>
      </c:tx>
      <c:layout>
        <c:manualLayout>
          <c:xMode val="edge"/>
          <c:yMode val="edge"/>
          <c:x val="6.5850163638923034E-3"/>
          <c:y val="1.4461562362744382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Dashboard!$C$18</c:f>
              <c:strCache>
                <c:ptCount val="1"/>
                <c:pt idx="0">
                  <c:v>Market Value</c:v>
                </c:pt>
              </c:strCache>
            </c:strRef>
          </c:tx>
          <c:spPr>
            <a:effectLst>
              <a:softEdge rad="0"/>
            </a:effectLst>
          </c:spPr>
          <c:dPt>
            <c:idx val="0"/>
            <c:bubble3D val="0"/>
            <c:spPr>
              <a:solidFill>
                <a:schemeClr val="accent1">
                  <a:lumMod val="20000"/>
                  <a:lumOff val="80000"/>
                </a:schemeClr>
              </a:solidFill>
              <a:ln w="19050">
                <a:solidFill>
                  <a:schemeClr val="lt1"/>
                </a:solidFill>
              </a:ln>
              <a:effectLst>
                <a:softEdge rad="0"/>
              </a:effectLst>
            </c:spPr>
            <c:extLst>
              <c:ext xmlns:c16="http://schemas.microsoft.com/office/drawing/2014/chart" uri="{C3380CC4-5D6E-409C-BE32-E72D297353CC}">
                <c16:uniqueId val="{00000006-D3E6-41FC-837E-43E3BAE15B53}"/>
              </c:ext>
            </c:extLst>
          </c:dPt>
          <c:dPt>
            <c:idx val="1"/>
            <c:bubble3D val="0"/>
            <c:spPr>
              <a:solidFill>
                <a:schemeClr val="tx2">
                  <a:lumMod val="75000"/>
                  <a:lumOff val="25000"/>
                </a:schemeClr>
              </a:solidFill>
              <a:ln w="19050">
                <a:solidFill>
                  <a:schemeClr val="lt1"/>
                </a:solidFill>
              </a:ln>
              <a:effectLst>
                <a:softEdge rad="0"/>
              </a:effectLst>
            </c:spPr>
            <c:extLst>
              <c:ext xmlns:c16="http://schemas.microsoft.com/office/drawing/2014/chart" uri="{C3380CC4-5D6E-409C-BE32-E72D297353CC}">
                <c16:uniqueId val="{00000001-D3E6-41FC-837E-43E3BAE15B53}"/>
              </c:ext>
            </c:extLst>
          </c:dPt>
          <c:dPt>
            <c:idx val="2"/>
            <c:bubble3D val="0"/>
            <c:spPr>
              <a:solidFill>
                <a:schemeClr val="tx2">
                  <a:lumMod val="25000"/>
                  <a:lumOff val="75000"/>
                </a:schemeClr>
              </a:solidFill>
              <a:ln w="19050">
                <a:solidFill>
                  <a:schemeClr val="lt1"/>
                </a:solidFill>
              </a:ln>
              <a:effectLst>
                <a:softEdge rad="0"/>
              </a:effectLst>
            </c:spPr>
            <c:extLst>
              <c:ext xmlns:c16="http://schemas.microsoft.com/office/drawing/2014/chart" uri="{C3380CC4-5D6E-409C-BE32-E72D297353CC}">
                <c16:uniqueId val="{00000005-D3E6-41FC-837E-43E3BAE15B53}"/>
              </c:ext>
            </c:extLst>
          </c:dPt>
          <c:dPt>
            <c:idx val="3"/>
            <c:bubble3D val="0"/>
            <c:spPr>
              <a:solidFill>
                <a:schemeClr val="tx2">
                  <a:lumMod val="90000"/>
                  <a:lumOff val="10000"/>
                </a:schemeClr>
              </a:solidFill>
              <a:ln w="19050">
                <a:solidFill>
                  <a:schemeClr val="lt1"/>
                </a:solidFill>
              </a:ln>
              <a:effectLst>
                <a:softEdge rad="0"/>
              </a:effectLst>
            </c:spPr>
            <c:extLst>
              <c:ext xmlns:c16="http://schemas.microsoft.com/office/drawing/2014/chart" uri="{C3380CC4-5D6E-409C-BE32-E72D297353CC}">
                <c16:uniqueId val="{00000002-D3E6-41FC-837E-43E3BAE15B53}"/>
              </c:ext>
            </c:extLst>
          </c:dPt>
          <c:dPt>
            <c:idx val="4"/>
            <c:bubble3D val="0"/>
            <c:spPr>
              <a:solidFill>
                <a:schemeClr val="tx2">
                  <a:lumMod val="50000"/>
                  <a:lumOff val="50000"/>
                </a:schemeClr>
              </a:solidFill>
              <a:ln w="19050">
                <a:solidFill>
                  <a:schemeClr val="lt1"/>
                </a:solidFill>
              </a:ln>
              <a:effectLst>
                <a:softEdge rad="0"/>
              </a:effectLst>
            </c:spPr>
            <c:extLst>
              <c:ext xmlns:c16="http://schemas.microsoft.com/office/drawing/2014/chart" uri="{C3380CC4-5D6E-409C-BE32-E72D297353CC}">
                <c16:uniqueId val="{00000003-D3E6-41FC-837E-43E3BAE15B53}"/>
              </c:ext>
            </c:extLst>
          </c:dPt>
          <c:dPt>
            <c:idx val="5"/>
            <c:bubble3D val="0"/>
            <c:spPr>
              <a:solidFill>
                <a:schemeClr val="accent1">
                  <a:lumMod val="60000"/>
                  <a:lumOff val="40000"/>
                </a:schemeClr>
              </a:solidFill>
              <a:ln w="19050">
                <a:solidFill>
                  <a:schemeClr val="lt1"/>
                </a:solidFill>
              </a:ln>
              <a:effectLst>
                <a:softEdge rad="0"/>
              </a:effectLst>
            </c:spPr>
            <c:extLst>
              <c:ext xmlns:c16="http://schemas.microsoft.com/office/drawing/2014/chart" uri="{C3380CC4-5D6E-409C-BE32-E72D297353CC}">
                <c16:uniqueId val="{00000004-D3E6-41FC-837E-43E3BAE15B53}"/>
              </c:ext>
            </c:extLst>
          </c:dPt>
          <c:dPt>
            <c:idx val="6"/>
            <c:bubble3D val="0"/>
            <c:spPr>
              <a:solidFill>
                <a:schemeClr val="accent1">
                  <a:lumMod val="60000"/>
                </a:schemeClr>
              </a:solidFill>
              <a:ln w="19050">
                <a:solidFill>
                  <a:schemeClr val="lt1"/>
                </a:solidFill>
              </a:ln>
              <a:effectLst>
                <a:softEdge rad="0"/>
              </a:effectLst>
            </c:spPr>
            <c:extLst>
              <c:ext xmlns:c16="http://schemas.microsoft.com/office/drawing/2014/chart" uri="{C3380CC4-5D6E-409C-BE32-E72D297353CC}">
                <c16:uniqueId val="{0000000D-E780-46C9-91F3-7996E1859FF4}"/>
              </c:ext>
            </c:extLst>
          </c:dPt>
          <c:dLbls>
            <c:dLbl>
              <c:idx val="0"/>
              <c:layout>
                <c:manualLayout>
                  <c:x val="2.6978942616638787E-3"/>
                  <c:y val="0"/>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619145489789957"/>
                      <c:h val="0.13061511349148983"/>
                    </c:manualLayout>
                  </c15:layout>
                </c:ext>
                <c:ext xmlns:c16="http://schemas.microsoft.com/office/drawing/2014/chart" uri="{C3380CC4-5D6E-409C-BE32-E72D297353CC}">
                  <c16:uniqueId val="{00000006-D3E6-41FC-837E-43E3BAE15B53}"/>
                </c:ext>
              </c:extLst>
            </c:dLbl>
            <c:dLbl>
              <c:idx val="5"/>
              <c:layout>
                <c:manualLayout>
                  <c:x val="-2.9713828406887598E-2"/>
                  <c:y val="0.1086058522739917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3E6-41FC-837E-43E3BAE15B5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635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Dashboard!$B$19:$B$25</c:f>
              <c:strCache>
                <c:ptCount val="7"/>
                <c:pt idx="0">
                  <c:v>Oil &amp; Gas</c:v>
                </c:pt>
                <c:pt idx="1">
                  <c:v>Automobiles &amp; Auto Parts</c:v>
                </c:pt>
                <c:pt idx="2">
                  <c:v>Banking Services</c:v>
                </c:pt>
                <c:pt idx="3">
                  <c:v>Pharmaceuticals</c:v>
                </c:pt>
                <c:pt idx="4">
                  <c:v>Biotechnology &amp; Medical Research</c:v>
                </c:pt>
                <c:pt idx="5">
                  <c:v>Personal &amp; Household Products &amp; Services</c:v>
                </c:pt>
                <c:pt idx="6">
                  <c:v>Food &amp; Tobacco</c:v>
                </c:pt>
              </c:strCache>
            </c:strRef>
          </c:cat>
          <c:val>
            <c:numRef>
              <c:f>Dashboard!$C$19:$C$25</c:f>
              <c:numCache>
                <c:formatCode>"₹"\ #,##0.00;[Red]"₹"\ #,##0.00</c:formatCode>
                <c:ptCount val="7"/>
                <c:pt idx="0">
                  <c:v>32661.149999999998</c:v>
                </c:pt>
                <c:pt idx="1">
                  <c:v>38777.799999999996</c:v>
                </c:pt>
                <c:pt idx="2">
                  <c:v>55326.7</c:v>
                </c:pt>
                <c:pt idx="3">
                  <c:v>29314.800000000003</c:v>
                </c:pt>
                <c:pt idx="4">
                  <c:v>15358</c:v>
                </c:pt>
                <c:pt idx="5">
                  <c:v>50919</c:v>
                </c:pt>
                <c:pt idx="6">
                  <c:v>13734</c:v>
                </c:pt>
              </c:numCache>
            </c:numRef>
          </c:val>
          <c:extLst>
            <c:ext xmlns:c16="http://schemas.microsoft.com/office/drawing/2014/chart" uri="{C3380CC4-5D6E-409C-BE32-E72D297353CC}">
              <c16:uniqueId val="{00000000-D3E6-41FC-837E-43E3BAE15B53}"/>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Dixon!$B$1</c:f>
          <c:strCache>
            <c:ptCount val="1"/>
            <c:pt idx="0">
              <c:v>DIXON TECHNOLOGIES (INDIA) LIMITED (XNSE:DIXON)</c:v>
            </c:pt>
          </c:strCache>
        </c:strRef>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0"/>
          <c:order val="0"/>
          <c:tx>
            <c:strRef>
              <c:f>Dixon!$B$6</c:f>
              <c:strCache>
                <c:ptCount val="1"/>
                <c:pt idx="0">
                  <c:v>Volume</c:v>
                </c:pt>
              </c:strCache>
            </c:strRef>
          </c:tx>
          <c:spPr>
            <a:solidFill>
              <a:schemeClr val="accent1"/>
            </a:solidFill>
            <a:ln w="38100">
              <a:noFill/>
            </a:ln>
            <a:effectLst/>
          </c:spPr>
          <c:invertIfNegative val="0"/>
          <c:cat>
            <c:numRef>
              <c:f>Dixon!$A$7:$A$27</c:f>
              <c:numCache>
                <c:formatCode>m/d/yyyy</c:formatCode>
                <c:ptCount val="21"/>
                <c:pt idx="0">
                  <c:v>46045</c:v>
                </c:pt>
                <c:pt idx="1">
                  <c:v>46049</c:v>
                </c:pt>
                <c:pt idx="2">
                  <c:v>46050</c:v>
                </c:pt>
                <c:pt idx="3">
                  <c:v>46051</c:v>
                </c:pt>
                <c:pt idx="4">
                  <c:v>46052</c:v>
                </c:pt>
                <c:pt idx="5">
                  <c:v>46054</c:v>
                </c:pt>
                <c:pt idx="6">
                  <c:v>46055</c:v>
                </c:pt>
                <c:pt idx="7">
                  <c:v>46056</c:v>
                </c:pt>
                <c:pt idx="8">
                  <c:v>46057</c:v>
                </c:pt>
                <c:pt idx="9">
                  <c:v>46058</c:v>
                </c:pt>
                <c:pt idx="10">
                  <c:v>46059</c:v>
                </c:pt>
                <c:pt idx="11">
                  <c:v>46062</c:v>
                </c:pt>
                <c:pt idx="12">
                  <c:v>46063</c:v>
                </c:pt>
                <c:pt idx="13">
                  <c:v>46064</c:v>
                </c:pt>
              </c:numCache>
            </c:numRef>
          </c:cat>
          <c:val>
            <c:numRef>
              <c:f>Dixon!$B$7:$B$27</c:f>
              <c:numCache>
                <c:formatCode>#,##0</c:formatCode>
                <c:ptCount val="21"/>
                <c:pt idx="0">
                  <c:v>486607</c:v>
                </c:pt>
                <c:pt idx="1">
                  <c:v>702193</c:v>
                </c:pt>
                <c:pt idx="2">
                  <c:v>661357</c:v>
                </c:pt>
                <c:pt idx="3">
                  <c:v>672993</c:v>
                </c:pt>
                <c:pt idx="4">
                  <c:v>1996677</c:v>
                </c:pt>
                <c:pt idx="5">
                  <c:v>1489233</c:v>
                </c:pt>
                <c:pt idx="6">
                  <c:v>822592</c:v>
                </c:pt>
                <c:pt idx="7">
                  <c:v>1584528</c:v>
                </c:pt>
                <c:pt idx="8">
                  <c:v>1509099</c:v>
                </c:pt>
                <c:pt idx="9">
                  <c:v>1047347</c:v>
                </c:pt>
                <c:pt idx="10">
                  <c:v>477648</c:v>
                </c:pt>
                <c:pt idx="11">
                  <c:v>485574</c:v>
                </c:pt>
                <c:pt idx="12">
                  <c:v>546495</c:v>
                </c:pt>
                <c:pt idx="13">
                  <c:v>448093</c:v>
                </c:pt>
              </c:numCache>
            </c:numRef>
          </c:val>
          <c:extLst>
            <c:ext xmlns:c16="http://schemas.microsoft.com/office/drawing/2014/chart" uri="{C3380CC4-5D6E-409C-BE32-E72D297353CC}">
              <c16:uniqueId val="{00000000-9677-47E7-8B38-4BFEDCC92BFC}"/>
            </c:ext>
          </c:extLst>
        </c:ser>
        <c:dLbls>
          <c:showLegendKey val="0"/>
          <c:showVal val="0"/>
          <c:showCatName val="0"/>
          <c:showSerName val="0"/>
          <c:showPercent val="0"/>
          <c:showBubbleSize val="0"/>
        </c:dLbls>
        <c:gapWidth val="150"/>
        <c:axId val="1265739280"/>
        <c:axId val="1265729680"/>
      </c:barChart>
      <c:stockChart>
        <c:ser>
          <c:idx val="1"/>
          <c:order val="1"/>
          <c:tx>
            <c:strRef>
              <c:f>Dixon!$C$6</c:f>
              <c:strCache>
                <c:ptCount val="1"/>
                <c:pt idx="0">
                  <c:v>Open</c:v>
                </c:pt>
              </c:strCache>
            </c:strRef>
          </c:tx>
          <c:spPr>
            <a:ln w="38100" cap="rnd">
              <a:noFill/>
              <a:round/>
            </a:ln>
            <a:effectLst/>
          </c:spPr>
          <c:marker>
            <c:symbol val="none"/>
          </c:marker>
          <c:cat>
            <c:numRef>
              <c:f>Dixon!$A$7:$A$27</c:f>
              <c:numCache>
                <c:formatCode>m/d/yyyy</c:formatCode>
                <c:ptCount val="21"/>
                <c:pt idx="0">
                  <c:v>46045</c:v>
                </c:pt>
                <c:pt idx="1">
                  <c:v>46049</c:v>
                </c:pt>
                <c:pt idx="2">
                  <c:v>46050</c:v>
                </c:pt>
                <c:pt idx="3">
                  <c:v>46051</c:v>
                </c:pt>
                <c:pt idx="4">
                  <c:v>46052</c:v>
                </c:pt>
                <c:pt idx="5">
                  <c:v>46054</c:v>
                </c:pt>
                <c:pt idx="6">
                  <c:v>46055</c:v>
                </c:pt>
                <c:pt idx="7">
                  <c:v>46056</c:v>
                </c:pt>
                <c:pt idx="8">
                  <c:v>46057</c:v>
                </c:pt>
                <c:pt idx="9">
                  <c:v>46058</c:v>
                </c:pt>
                <c:pt idx="10">
                  <c:v>46059</c:v>
                </c:pt>
                <c:pt idx="11">
                  <c:v>46062</c:v>
                </c:pt>
                <c:pt idx="12">
                  <c:v>46063</c:v>
                </c:pt>
                <c:pt idx="13">
                  <c:v>46064</c:v>
                </c:pt>
              </c:numCache>
            </c:numRef>
          </c:cat>
          <c:val>
            <c:numRef>
              <c:f>Dixon!$C$7:$C$27</c:f>
              <c:numCache>
                <c:formatCode>_ [$₹-4009]\ * #,##0.00_ ;_ [$₹-4009]\ * \-#,##0.00_ ;_ [$₹-4009]\ * "-"??_ ;_ @_ </c:formatCode>
                <c:ptCount val="21"/>
                <c:pt idx="0">
                  <c:v>10575</c:v>
                </c:pt>
                <c:pt idx="1">
                  <c:v>10400</c:v>
                </c:pt>
                <c:pt idx="2">
                  <c:v>10189</c:v>
                </c:pt>
                <c:pt idx="3">
                  <c:v>10299</c:v>
                </c:pt>
                <c:pt idx="4">
                  <c:v>10100</c:v>
                </c:pt>
                <c:pt idx="5">
                  <c:v>10590</c:v>
                </c:pt>
                <c:pt idx="6">
                  <c:v>10250</c:v>
                </c:pt>
                <c:pt idx="7">
                  <c:v>11100</c:v>
                </c:pt>
                <c:pt idx="8">
                  <c:v>11032</c:v>
                </c:pt>
                <c:pt idx="9">
                  <c:v>11700</c:v>
                </c:pt>
                <c:pt idx="10">
                  <c:v>11349</c:v>
                </c:pt>
                <c:pt idx="11">
                  <c:v>11655</c:v>
                </c:pt>
                <c:pt idx="12">
                  <c:v>11820</c:v>
                </c:pt>
                <c:pt idx="13">
                  <c:v>11640</c:v>
                </c:pt>
              </c:numCache>
            </c:numRef>
          </c:val>
          <c:smooth val="0"/>
          <c:extLst>
            <c:ext xmlns:c16="http://schemas.microsoft.com/office/drawing/2014/chart" uri="{C3380CC4-5D6E-409C-BE32-E72D297353CC}">
              <c16:uniqueId val="{00000001-9677-47E7-8B38-4BFEDCC92BFC}"/>
            </c:ext>
          </c:extLst>
        </c:ser>
        <c:ser>
          <c:idx val="2"/>
          <c:order val="2"/>
          <c:tx>
            <c:strRef>
              <c:f>Dixon!$D$6</c:f>
              <c:strCache>
                <c:ptCount val="1"/>
                <c:pt idx="0">
                  <c:v>High</c:v>
                </c:pt>
              </c:strCache>
            </c:strRef>
          </c:tx>
          <c:spPr>
            <a:ln w="38100" cap="rnd">
              <a:noFill/>
              <a:round/>
            </a:ln>
            <a:effectLst/>
          </c:spPr>
          <c:marker>
            <c:symbol val="none"/>
          </c:marker>
          <c:cat>
            <c:numRef>
              <c:f>Dixon!$A$7:$A$27</c:f>
              <c:numCache>
                <c:formatCode>m/d/yyyy</c:formatCode>
                <c:ptCount val="21"/>
                <c:pt idx="0">
                  <c:v>46045</c:v>
                </c:pt>
                <c:pt idx="1">
                  <c:v>46049</c:v>
                </c:pt>
                <c:pt idx="2">
                  <c:v>46050</c:v>
                </c:pt>
                <c:pt idx="3">
                  <c:v>46051</c:v>
                </c:pt>
                <c:pt idx="4">
                  <c:v>46052</c:v>
                </c:pt>
                <c:pt idx="5">
                  <c:v>46054</c:v>
                </c:pt>
                <c:pt idx="6">
                  <c:v>46055</c:v>
                </c:pt>
                <c:pt idx="7">
                  <c:v>46056</c:v>
                </c:pt>
                <c:pt idx="8">
                  <c:v>46057</c:v>
                </c:pt>
                <c:pt idx="9">
                  <c:v>46058</c:v>
                </c:pt>
                <c:pt idx="10">
                  <c:v>46059</c:v>
                </c:pt>
                <c:pt idx="11">
                  <c:v>46062</c:v>
                </c:pt>
                <c:pt idx="12">
                  <c:v>46063</c:v>
                </c:pt>
                <c:pt idx="13">
                  <c:v>46064</c:v>
                </c:pt>
              </c:numCache>
            </c:numRef>
          </c:cat>
          <c:val>
            <c:numRef>
              <c:f>Dixon!$D$7:$D$27</c:f>
              <c:numCache>
                <c:formatCode>_ [$₹-4009]\ * #,##0.00_ ;_ [$₹-4009]\ * \-#,##0.00_ ;_ [$₹-4009]\ * "-"??_ ;_ @_ </c:formatCode>
                <c:ptCount val="21"/>
                <c:pt idx="0">
                  <c:v>10664</c:v>
                </c:pt>
                <c:pt idx="1">
                  <c:v>10400</c:v>
                </c:pt>
                <c:pt idx="2">
                  <c:v>10350</c:v>
                </c:pt>
                <c:pt idx="3">
                  <c:v>10436</c:v>
                </c:pt>
                <c:pt idx="4">
                  <c:v>10843</c:v>
                </c:pt>
                <c:pt idx="5">
                  <c:v>11026</c:v>
                </c:pt>
                <c:pt idx="6">
                  <c:v>10530</c:v>
                </c:pt>
                <c:pt idx="7">
                  <c:v>11200</c:v>
                </c:pt>
                <c:pt idx="8">
                  <c:v>11713</c:v>
                </c:pt>
                <c:pt idx="9">
                  <c:v>11713</c:v>
                </c:pt>
                <c:pt idx="10">
                  <c:v>11549</c:v>
                </c:pt>
                <c:pt idx="11">
                  <c:v>11845</c:v>
                </c:pt>
                <c:pt idx="12">
                  <c:v>11847</c:v>
                </c:pt>
                <c:pt idx="13">
                  <c:v>11766</c:v>
                </c:pt>
              </c:numCache>
            </c:numRef>
          </c:val>
          <c:smooth val="0"/>
          <c:extLst>
            <c:ext xmlns:c16="http://schemas.microsoft.com/office/drawing/2014/chart" uri="{C3380CC4-5D6E-409C-BE32-E72D297353CC}">
              <c16:uniqueId val="{00000002-9677-47E7-8B38-4BFEDCC92BFC}"/>
            </c:ext>
          </c:extLst>
        </c:ser>
        <c:ser>
          <c:idx val="3"/>
          <c:order val="3"/>
          <c:tx>
            <c:strRef>
              <c:f>Dixon!$E$6</c:f>
              <c:strCache>
                <c:ptCount val="1"/>
                <c:pt idx="0">
                  <c:v>Low</c:v>
                </c:pt>
              </c:strCache>
            </c:strRef>
          </c:tx>
          <c:spPr>
            <a:ln w="38100" cap="rnd">
              <a:noFill/>
              <a:round/>
            </a:ln>
            <a:effectLst/>
          </c:spPr>
          <c:marker>
            <c:symbol val="none"/>
          </c:marker>
          <c:cat>
            <c:numRef>
              <c:f>Dixon!$A$7:$A$27</c:f>
              <c:numCache>
                <c:formatCode>m/d/yyyy</c:formatCode>
                <c:ptCount val="21"/>
                <c:pt idx="0">
                  <c:v>46045</c:v>
                </c:pt>
                <c:pt idx="1">
                  <c:v>46049</c:v>
                </c:pt>
                <c:pt idx="2">
                  <c:v>46050</c:v>
                </c:pt>
                <c:pt idx="3">
                  <c:v>46051</c:v>
                </c:pt>
                <c:pt idx="4">
                  <c:v>46052</c:v>
                </c:pt>
                <c:pt idx="5">
                  <c:v>46054</c:v>
                </c:pt>
                <c:pt idx="6">
                  <c:v>46055</c:v>
                </c:pt>
                <c:pt idx="7">
                  <c:v>46056</c:v>
                </c:pt>
                <c:pt idx="8">
                  <c:v>46057</c:v>
                </c:pt>
                <c:pt idx="9">
                  <c:v>46058</c:v>
                </c:pt>
                <c:pt idx="10">
                  <c:v>46059</c:v>
                </c:pt>
                <c:pt idx="11">
                  <c:v>46062</c:v>
                </c:pt>
                <c:pt idx="12">
                  <c:v>46063</c:v>
                </c:pt>
                <c:pt idx="13">
                  <c:v>46064</c:v>
                </c:pt>
              </c:numCache>
            </c:numRef>
          </c:cat>
          <c:val>
            <c:numRef>
              <c:f>Dixon!$E$7:$E$27</c:f>
              <c:numCache>
                <c:formatCode>_ [$₹-4009]\ * #,##0.00_ ;_ [$₹-4009]\ * \-#,##0.00_ ;_ [$₹-4009]\ * "-"??_ ;_ @_ </c:formatCode>
                <c:ptCount val="21"/>
                <c:pt idx="0">
                  <c:v>10330</c:v>
                </c:pt>
                <c:pt idx="1">
                  <c:v>9990</c:v>
                </c:pt>
                <c:pt idx="2">
                  <c:v>10038</c:v>
                </c:pt>
                <c:pt idx="3">
                  <c:v>10056</c:v>
                </c:pt>
                <c:pt idx="4">
                  <c:v>9835</c:v>
                </c:pt>
                <c:pt idx="5">
                  <c:v>9968</c:v>
                </c:pt>
                <c:pt idx="6">
                  <c:v>10102</c:v>
                </c:pt>
                <c:pt idx="7">
                  <c:v>10852</c:v>
                </c:pt>
                <c:pt idx="8">
                  <c:v>10926</c:v>
                </c:pt>
                <c:pt idx="9">
                  <c:v>11154</c:v>
                </c:pt>
                <c:pt idx="10">
                  <c:v>11172</c:v>
                </c:pt>
                <c:pt idx="11">
                  <c:v>11550</c:v>
                </c:pt>
                <c:pt idx="12">
                  <c:v>11563</c:v>
                </c:pt>
                <c:pt idx="13">
                  <c:v>11490</c:v>
                </c:pt>
              </c:numCache>
            </c:numRef>
          </c:val>
          <c:smooth val="0"/>
          <c:extLst>
            <c:ext xmlns:c16="http://schemas.microsoft.com/office/drawing/2014/chart" uri="{C3380CC4-5D6E-409C-BE32-E72D297353CC}">
              <c16:uniqueId val="{00000003-9677-47E7-8B38-4BFEDCC92BFC}"/>
            </c:ext>
          </c:extLst>
        </c:ser>
        <c:ser>
          <c:idx val="4"/>
          <c:order val="4"/>
          <c:tx>
            <c:strRef>
              <c:f>Dixon!$F$6</c:f>
              <c:strCache>
                <c:ptCount val="1"/>
                <c:pt idx="0">
                  <c:v>Close</c:v>
                </c:pt>
              </c:strCache>
            </c:strRef>
          </c:tx>
          <c:spPr>
            <a:ln w="38100" cap="rnd">
              <a:noFill/>
              <a:round/>
            </a:ln>
            <a:effectLst/>
          </c:spPr>
          <c:marker>
            <c:symbol val="none"/>
          </c:marker>
          <c:cat>
            <c:numRef>
              <c:f>Dixon!$A$7:$A$27</c:f>
              <c:numCache>
                <c:formatCode>m/d/yyyy</c:formatCode>
                <c:ptCount val="21"/>
                <c:pt idx="0">
                  <c:v>46045</c:v>
                </c:pt>
                <c:pt idx="1">
                  <c:v>46049</c:v>
                </c:pt>
                <c:pt idx="2">
                  <c:v>46050</c:v>
                </c:pt>
                <c:pt idx="3">
                  <c:v>46051</c:v>
                </c:pt>
                <c:pt idx="4">
                  <c:v>46052</c:v>
                </c:pt>
                <c:pt idx="5">
                  <c:v>46054</c:v>
                </c:pt>
                <c:pt idx="6">
                  <c:v>46055</c:v>
                </c:pt>
                <c:pt idx="7">
                  <c:v>46056</c:v>
                </c:pt>
                <c:pt idx="8">
                  <c:v>46057</c:v>
                </c:pt>
                <c:pt idx="9">
                  <c:v>46058</c:v>
                </c:pt>
                <c:pt idx="10">
                  <c:v>46059</c:v>
                </c:pt>
                <c:pt idx="11">
                  <c:v>46062</c:v>
                </c:pt>
                <c:pt idx="12">
                  <c:v>46063</c:v>
                </c:pt>
                <c:pt idx="13">
                  <c:v>46064</c:v>
                </c:pt>
              </c:numCache>
            </c:numRef>
          </c:cat>
          <c:val>
            <c:numRef>
              <c:f>Dixon!$F$7:$F$27</c:f>
              <c:numCache>
                <c:formatCode>_ [$₹-4009]\ * #,##0.00_ ;_ [$₹-4009]\ * \-#,##0.00_ ;_ [$₹-4009]\ * "-"??_ ;_ @_ </c:formatCode>
                <c:ptCount val="21"/>
                <c:pt idx="0">
                  <c:v>10360</c:v>
                </c:pt>
                <c:pt idx="1">
                  <c:v>10184</c:v>
                </c:pt>
                <c:pt idx="2">
                  <c:v>10279</c:v>
                </c:pt>
                <c:pt idx="3">
                  <c:v>10337</c:v>
                </c:pt>
                <c:pt idx="4">
                  <c:v>10446</c:v>
                </c:pt>
                <c:pt idx="5">
                  <c:v>10196</c:v>
                </c:pt>
                <c:pt idx="6">
                  <c:v>10339</c:v>
                </c:pt>
                <c:pt idx="7">
                  <c:v>11031</c:v>
                </c:pt>
                <c:pt idx="8">
                  <c:v>11678</c:v>
                </c:pt>
                <c:pt idx="9">
                  <c:v>11376</c:v>
                </c:pt>
                <c:pt idx="10">
                  <c:v>11502</c:v>
                </c:pt>
                <c:pt idx="11">
                  <c:v>11757</c:v>
                </c:pt>
                <c:pt idx="12">
                  <c:v>11609</c:v>
                </c:pt>
                <c:pt idx="13">
                  <c:v>11741</c:v>
                </c:pt>
              </c:numCache>
            </c:numRef>
          </c:val>
          <c:smooth val="0"/>
          <c:extLst>
            <c:ext xmlns:c16="http://schemas.microsoft.com/office/drawing/2014/chart" uri="{C3380CC4-5D6E-409C-BE32-E72D297353CC}">
              <c16:uniqueId val="{00000004-9677-47E7-8B38-4BFEDCC92BF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284691744"/>
        <c:axId val="1284699904"/>
      </c:stockChart>
      <c:dateAx>
        <c:axId val="1265739280"/>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729680"/>
        <c:crosses val="autoZero"/>
        <c:auto val="0"/>
        <c:lblOffset val="100"/>
        <c:baseTimeUnit val="days"/>
      </c:dateAx>
      <c:valAx>
        <c:axId val="1265729680"/>
        <c:scaling>
          <c:orientation val="minMax"/>
        </c:scaling>
        <c:delete val="0"/>
        <c:axPos val="l"/>
        <c:majorGridlines>
          <c:spPr>
            <a:ln w="9525" cap="flat" cmpd="sng" algn="ctr">
              <a:solidFill>
                <a:schemeClr val="tx1">
                  <a:lumMod val="15000"/>
                  <a:lumOff val="85000"/>
                </a:schemeClr>
              </a:solidFill>
              <a:round/>
            </a:ln>
            <a:effectLst/>
          </c:spPr>
        </c:majorGridlines>
        <c:numFmt formatCode="\ #,###,##0.00,,&quot; Lacs&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739280"/>
        <c:crosses val="autoZero"/>
        <c:crossBetween val="between"/>
      </c:valAx>
      <c:valAx>
        <c:axId val="1284699904"/>
        <c:scaling>
          <c:orientation val="minMax"/>
        </c:scaling>
        <c:delete val="0"/>
        <c:axPos val="r"/>
        <c:majorGridlines>
          <c:spPr>
            <a:ln w="9525" cap="flat" cmpd="sng" algn="ctr">
              <a:solidFill>
                <a:schemeClr val="tx1">
                  <a:lumMod val="15000"/>
                  <a:lumOff val="85000"/>
                </a:schemeClr>
              </a:solidFill>
              <a:round/>
            </a:ln>
            <a:effectLst/>
          </c:spPr>
        </c:majorGridlines>
        <c:numFmt formatCode="_ [$₹-4009]\ * #,##0.00_ ;_ [$₹-4009]\ * \-#,##0.00_ ;_ [$₹-4009]\ * &quot;-&quot;??_ ;_ @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691744"/>
        <c:crosses val="max"/>
        <c:crossBetween val="between"/>
      </c:valAx>
      <c:dateAx>
        <c:axId val="1284691744"/>
        <c:scaling>
          <c:orientation val="minMax"/>
        </c:scaling>
        <c:delete val="1"/>
        <c:axPos val="b"/>
        <c:numFmt formatCode="m/d/yyyy" sourceLinked="1"/>
        <c:majorTickMark val="out"/>
        <c:minorTickMark val="none"/>
        <c:tickLblPos val="nextTo"/>
        <c:crossAx val="1284699904"/>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latin typeface="Calibri" panose="020F0502020204030204" pitchFamily="34" charset="0"/>
                <a:ea typeface="Calibri" panose="020F0502020204030204" pitchFamily="34" charset="0"/>
                <a:cs typeface="Calibri" panose="020F0502020204030204" pitchFamily="34" charset="0"/>
              </a:rPr>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gradFill>
              <a:gsLst>
                <a:gs pos="0">
                  <a:schemeClr val="accent1">
                    <a:lumMod val="5000"/>
                    <a:lumOff val="95000"/>
                  </a:schemeClr>
                </a:gs>
                <a:gs pos="0">
                  <a:schemeClr val="tx2">
                    <a:lumMod val="75000"/>
                    <a:lumOff val="25000"/>
                  </a:schemeClr>
                </a:gs>
                <a:gs pos="77000">
                  <a:schemeClr val="tx2">
                    <a:lumMod val="25000"/>
                    <a:lumOff val="75000"/>
                  </a:schemeClr>
                </a:gs>
                <a:gs pos="100000">
                  <a:schemeClr val="tx2">
                    <a:lumMod val="10000"/>
                    <a:lumOff val="90000"/>
                  </a:schemeClr>
                </a:gs>
              </a:gsLst>
              <a:lin ang="5400000" scaled="1"/>
            </a:gradFill>
            <a:ln>
              <a:noFill/>
            </a:ln>
            <a:effectLst/>
          </c:spPr>
          <c:val>
            <c:numRef>
              <c:f>Dixon!$C$4:$IO$4</c:f>
              <c:numCache>
                <c:formatCode>_ [$₹-4009]\ * #,##0.00_ ;_ [$₹-4009]\ * \-#,##0.00_ ;_ [$₹-4009]\ * "-"??_ ;_ @_ </c:formatCode>
                <c:ptCount val="247"/>
                <c:pt idx="0">
                  <c:v>14043.35</c:v>
                </c:pt>
                <c:pt idx="1">
                  <c:v>14151.6</c:v>
                </c:pt>
                <c:pt idx="2">
                  <c:v>13824.3</c:v>
                </c:pt>
                <c:pt idx="3">
                  <c:v>13935.85</c:v>
                </c:pt>
                <c:pt idx="4">
                  <c:v>14051.75</c:v>
                </c:pt>
                <c:pt idx="5">
                  <c:v>14190.35</c:v>
                </c:pt>
                <c:pt idx="6">
                  <c:v>14497.45</c:v>
                </c:pt>
                <c:pt idx="7">
                  <c:v>14256.25</c:v>
                </c:pt>
                <c:pt idx="8">
                  <c:v>13911.25</c:v>
                </c:pt>
                <c:pt idx="9">
                  <c:v>13131.15</c:v>
                </c:pt>
                <c:pt idx="10">
                  <c:v>13298.9</c:v>
                </c:pt>
                <c:pt idx="11">
                  <c:v>13078.95</c:v>
                </c:pt>
                <c:pt idx="12">
                  <c:v>13324.05</c:v>
                </c:pt>
                <c:pt idx="13">
                  <c:v>13098.2</c:v>
                </c:pt>
                <c:pt idx="14">
                  <c:v>13470.15</c:v>
                </c:pt>
                <c:pt idx="15">
                  <c:v>13875.6</c:v>
                </c:pt>
                <c:pt idx="16">
                  <c:v>13905.7</c:v>
                </c:pt>
                <c:pt idx="17">
                  <c:v>14056.8</c:v>
                </c:pt>
                <c:pt idx="18">
                  <c:v>14608.35</c:v>
                </c:pt>
                <c:pt idx="19">
                  <c:v>13624.5</c:v>
                </c:pt>
                <c:pt idx="20">
                  <c:v>13260.4</c:v>
                </c:pt>
                <c:pt idx="21">
                  <c:v>13510.8</c:v>
                </c:pt>
                <c:pt idx="22">
                  <c:v>13179.5</c:v>
                </c:pt>
                <c:pt idx="23">
                  <c:v>12923.9</c:v>
                </c:pt>
                <c:pt idx="24">
                  <c:v>13450.7</c:v>
                </c:pt>
                <c:pt idx="25">
                  <c:v>13487.95</c:v>
                </c:pt>
                <c:pt idx="26">
                  <c:v>13137.55</c:v>
                </c:pt>
                <c:pt idx="27">
                  <c:v>12556.05</c:v>
                </c:pt>
                <c:pt idx="28">
                  <c:v>12991.8</c:v>
                </c:pt>
                <c:pt idx="29">
                  <c:v>13282.45</c:v>
                </c:pt>
                <c:pt idx="30">
                  <c:v>14301.9</c:v>
                </c:pt>
                <c:pt idx="31">
                  <c:v>14931</c:v>
                </c:pt>
                <c:pt idx="32">
                  <c:v>15252</c:v>
                </c:pt>
                <c:pt idx="33">
                  <c:v>15323</c:v>
                </c:pt>
                <c:pt idx="34">
                  <c:v>15816</c:v>
                </c:pt>
                <c:pt idx="35">
                  <c:v>16675</c:v>
                </c:pt>
                <c:pt idx="36">
                  <c:v>16607</c:v>
                </c:pt>
                <c:pt idx="37">
                  <c:v>16588</c:v>
                </c:pt>
                <c:pt idx="38">
                  <c:v>16219</c:v>
                </c:pt>
                <c:pt idx="39">
                  <c:v>16415</c:v>
                </c:pt>
                <c:pt idx="40">
                  <c:v>16614</c:v>
                </c:pt>
                <c:pt idx="41">
                  <c:v>16452</c:v>
                </c:pt>
                <c:pt idx="42">
                  <c:v>16347</c:v>
                </c:pt>
                <c:pt idx="43">
                  <c:v>16710</c:v>
                </c:pt>
                <c:pt idx="44">
                  <c:v>16056</c:v>
                </c:pt>
                <c:pt idx="45">
                  <c:v>16095</c:v>
                </c:pt>
                <c:pt idx="46">
                  <c:v>15626</c:v>
                </c:pt>
                <c:pt idx="47">
                  <c:v>15190</c:v>
                </c:pt>
                <c:pt idx="48">
                  <c:v>16073</c:v>
                </c:pt>
                <c:pt idx="49">
                  <c:v>16219</c:v>
                </c:pt>
                <c:pt idx="50">
                  <c:v>16121</c:v>
                </c:pt>
                <c:pt idx="51">
                  <c:v>16433</c:v>
                </c:pt>
                <c:pt idx="52">
                  <c:v>16660</c:v>
                </c:pt>
                <c:pt idx="53">
                  <c:v>16574</c:v>
                </c:pt>
                <c:pt idx="54">
                  <c:v>16566</c:v>
                </c:pt>
                <c:pt idx="55">
                  <c:v>15612</c:v>
                </c:pt>
                <c:pt idx="56">
                  <c:v>15170</c:v>
                </c:pt>
                <c:pt idx="57">
                  <c:v>15019</c:v>
                </c:pt>
                <c:pt idx="58">
                  <c:v>15085</c:v>
                </c:pt>
                <c:pt idx="59">
                  <c:v>15091</c:v>
                </c:pt>
                <c:pt idx="60">
                  <c:v>14816</c:v>
                </c:pt>
                <c:pt idx="61">
                  <c:v>14808</c:v>
                </c:pt>
                <c:pt idx="62">
                  <c:v>14692</c:v>
                </c:pt>
                <c:pt idx="63">
                  <c:v>14612</c:v>
                </c:pt>
                <c:pt idx="64">
                  <c:v>14453</c:v>
                </c:pt>
                <c:pt idx="65">
                  <c:v>14956</c:v>
                </c:pt>
                <c:pt idx="66">
                  <c:v>14694</c:v>
                </c:pt>
                <c:pt idx="67">
                  <c:v>14855</c:v>
                </c:pt>
                <c:pt idx="68">
                  <c:v>14914</c:v>
                </c:pt>
                <c:pt idx="69">
                  <c:v>14982</c:v>
                </c:pt>
                <c:pt idx="70">
                  <c:v>14790</c:v>
                </c:pt>
                <c:pt idx="71">
                  <c:v>14518</c:v>
                </c:pt>
                <c:pt idx="72">
                  <c:v>14311</c:v>
                </c:pt>
                <c:pt idx="73">
                  <c:v>14313</c:v>
                </c:pt>
                <c:pt idx="74">
                  <c:v>14243</c:v>
                </c:pt>
                <c:pt idx="75">
                  <c:v>14367</c:v>
                </c:pt>
                <c:pt idx="76">
                  <c:v>14004</c:v>
                </c:pt>
                <c:pt idx="77">
                  <c:v>14047</c:v>
                </c:pt>
                <c:pt idx="78">
                  <c:v>14571</c:v>
                </c:pt>
                <c:pt idx="79">
                  <c:v>14506</c:v>
                </c:pt>
                <c:pt idx="80">
                  <c:v>14165</c:v>
                </c:pt>
                <c:pt idx="81">
                  <c:v>14315</c:v>
                </c:pt>
                <c:pt idx="82">
                  <c:v>14473</c:v>
                </c:pt>
                <c:pt idx="83">
                  <c:v>14983</c:v>
                </c:pt>
                <c:pt idx="84">
                  <c:v>14716</c:v>
                </c:pt>
                <c:pt idx="85">
                  <c:v>15163</c:v>
                </c:pt>
                <c:pt idx="86">
                  <c:v>15074</c:v>
                </c:pt>
                <c:pt idx="87">
                  <c:v>15202</c:v>
                </c:pt>
                <c:pt idx="88">
                  <c:v>15433</c:v>
                </c:pt>
                <c:pt idx="89">
                  <c:v>15473</c:v>
                </c:pt>
                <c:pt idx="90">
                  <c:v>15710</c:v>
                </c:pt>
                <c:pt idx="91">
                  <c:v>15849</c:v>
                </c:pt>
                <c:pt idx="92">
                  <c:v>15786</c:v>
                </c:pt>
                <c:pt idx="93">
                  <c:v>15898</c:v>
                </c:pt>
                <c:pt idx="94">
                  <c:v>15823</c:v>
                </c:pt>
                <c:pt idx="95">
                  <c:v>16099</c:v>
                </c:pt>
                <c:pt idx="96">
                  <c:v>16107</c:v>
                </c:pt>
                <c:pt idx="97">
                  <c:v>15960</c:v>
                </c:pt>
                <c:pt idx="98">
                  <c:v>16281</c:v>
                </c:pt>
                <c:pt idx="99">
                  <c:v>16112</c:v>
                </c:pt>
                <c:pt idx="100">
                  <c:v>16556</c:v>
                </c:pt>
                <c:pt idx="101">
                  <c:v>16768</c:v>
                </c:pt>
                <c:pt idx="102">
                  <c:v>16700</c:v>
                </c:pt>
                <c:pt idx="103">
                  <c:v>16744</c:v>
                </c:pt>
                <c:pt idx="104">
                  <c:v>16784</c:v>
                </c:pt>
                <c:pt idx="105">
                  <c:v>16765</c:v>
                </c:pt>
                <c:pt idx="106">
                  <c:v>16841</c:v>
                </c:pt>
                <c:pt idx="107">
                  <c:v>16848</c:v>
                </c:pt>
                <c:pt idx="108">
                  <c:v>17002</c:v>
                </c:pt>
                <c:pt idx="109">
                  <c:v>16849</c:v>
                </c:pt>
                <c:pt idx="110">
                  <c:v>16513</c:v>
                </c:pt>
                <c:pt idx="111">
                  <c:v>16663</c:v>
                </c:pt>
                <c:pt idx="112">
                  <c:v>15864</c:v>
                </c:pt>
                <c:pt idx="113">
                  <c:v>16088</c:v>
                </c:pt>
                <c:pt idx="114">
                  <c:v>15828</c:v>
                </c:pt>
                <c:pt idx="115">
                  <c:v>15952</c:v>
                </c:pt>
                <c:pt idx="116">
                  <c:v>16191</c:v>
                </c:pt>
                <c:pt idx="117">
                  <c:v>16756</c:v>
                </c:pt>
                <c:pt idx="118">
                  <c:v>16905</c:v>
                </c:pt>
                <c:pt idx="119">
                  <c:v>16876</c:v>
                </c:pt>
                <c:pt idx="120">
                  <c:v>16725</c:v>
                </c:pt>
                <c:pt idx="121">
                  <c:v>16893</c:v>
                </c:pt>
                <c:pt idx="122">
                  <c:v>17018</c:v>
                </c:pt>
                <c:pt idx="123">
                  <c:v>16668</c:v>
                </c:pt>
                <c:pt idx="124">
                  <c:v>16678</c:v>
                </c:pt>
                <c:pt idx="125">
                  <c:v>16690</c:v>
                </c:pt>
                <c:pt idx="126">
                  <c:v>17582</c:v>
                </c:pt>
                <c:pt idx="127">
                  <c:v>17553</c:v>
                </c:pt>
                <c:pt idx="128">
                  <c:v>17759</c:v>
                </c:pt>
                <c:pt idx="129">
                  <c:v>17852</c:v>
                </c:pt>
                <c:pt idx="130">
                  <c:v>17855</c:v>
                </c:pt>
                <c:pt idx="131">
                  <c:v>18006</c:v>
                </c:pt>
                <c:pt idx="132">
                  <c:v>18002</c:v>
                </c:pt>
                <c:pt idx="133">
                  <c:v>17897</c:v>
                </c:pt>
                <c:pt idx="134">
                  <c:v>18041</c:v>
                </c:pt>
                <c:pt idx="135">
                  <c:v>18103</c:v>
                </c:pt>
                <c:pt idx="136">
                  <c:v>17985</c:v>
                </c:pt>
                <c:pt idx="137">
                  <c:v>18110</c:v>
                </c:pt>
                <c:pt idx="138">
                  <c:v>18110</c:v>
                </c:pt>
                <c:pt idx="139">
                  <c:v>18331</c:v>
                </c:pt>
                <c:pt idx="140">
                  <c:v>18177</c:v>
                </c:pt>
                <c:pt idx="141">
                  <c:v>18082</c:v>
                </c:pt>
                <c:pt idx="142">
                  <c:v>18130</c:v>
                </c:pt>
                <c:pt idx="143">
                  <c:v>18161</c:v>
                </c:pt>
                <c:pt idx="144">
                  <c:v>18202</c:v>
                </c:pt>
                <c:pt idx="145">
                  <c:v>17511</c:v>
                </c:pt>
                <c:pt idx="146">
                  <c:v>16678</c:v>
                </c:pt>
                <c:pt idx="147">
                  <c:v>16322</c:v>
                </c:pt>
                <c:pt idx="148">
                  <c:v>16453</c:v>
                </c:pt>
                <c:pt idx="149">
                  <c:v>16591</c:v>
                </c:pt>
                <c:pt idx="150">
                  <c:v>17041</c:v>
                </c:pt>
                <c:pt idx="151">
                  <c:v>17232</c:v>
                </c:pt>
                <c:pt idx="152">
                  <c:v>16859</c:v>
                </c:pt>
                <c:pt idx="153">
                  <c:v>17098</c:v>
                </c:pt>
                <c:pt idx="154">
                  <c:v>17445</c:v>
                </c:pt>
                <c:pt idx="155">
                  <c:v>17195</c:v>
                </c:pt>
                <c:pt idx="156">
                  <c:v>16634</c:v>
                </c:pt>
                <c:pt idx="157">
                  <c:v>16777</c:v>
                </c:pt>
                <c:pt idx="158">
                  <c:v>16844</c:v>
                </c:pt>
                <c:pt idx="159">
                  <c:v>16700</c:v>
                </c:pt>
                <c:pt idx="160">
                  <c:v>16075</c:v>
                </c:pt>
                <c:pt idx="161">
                  <c:v>16122</c:v>
                </c:pt>
                <c:pt idx="162">
                  <c:v>15611</c:v>
                </c:pt>
                <c:pt idx="163">
                  <c:v>15490</c:v>
                </c:pt>
                <c:pt idx="164">
                  <c:v>15505</c:v>
                </c:pt>
                <c:pt idx="165">
                  <c:v>15372</c:v>
                </c:pt>
                <c:pt idx="166">
                  <c:v>15512</c:v>
                </c:pt>
                <c:pt idx="167">
                  <c:v>15644</c:v>
                </c:pt>
                <c:pt idx="168">
                  <c:v>15494</c:v>
                </c:pt>
                <c:pt idx="169">
                  <c:v>15485</c:v>
                </c:pt>
                <c:pt idx="170">
                  <c:v>15254</c:v>
                </c:pt>
                <c:pt idx="171">
                  <c:v>15079</c:v>
                </c:pt>
                <c:pt idx="172">
                  <c:v>14849</c:v>
                </c:pt>
                <c:pt idx="173">
                  <c:v>14867</c:v>
                </c:pt>
                <c:pt idx="174">
                  <c:v>15094</c:v>
                </c:pt>
                <c:pt idx="175">
                  <c:v>15307</c:v>
                </c:pt>
                <c:pt idx="176">
                  <c:v>15323</c:v>
                </c:pt>
                <c:pt idx="177">
                  <c:v>15419</c:v>
                </c:pt>
                <c:pt idx="178">
                  <c:v>15641</c:v>
                </c:pt>
                <c:pt idx="179">
                  <c:v>15697</c:v>
                </c:pt>
                <c:pt idx="180">
                  <c:v>15540</c:v>
                </c:pt>
                <c:pt idx="181">
                  <c:v>15313</c:v>
                </c:pt>
                <c:pt idx="182">
                  <c:v>14965</c:v>
                </c:pt>
                <c:pt idx="183">
                  <c:v>14669</c:v>
                </c:pt>
                <c:pt idx="184">
                  <c:v>14401</c:v>
                </c:pt>
                <c:pt idx="185">
                  <c:v>14825</c:v>
                </c:pt>
                <c:pt idx="186">
                  <c:v>14643</c:v>
                </c:pt>
                <c:pt idx="187">
                  <c:v>14601</c:v>
                </c:pt>
                <c:pt idx="188">
                  <c:v>14566</c:v>
                </c:pt>
                <c:pt idx="189">
                  <c:v>14494</c:v>
                </c:pt>
                <c:pt idx="190">
                  <c:v>14018</c:v>
                </c:pt>
                <c:pt idx="191">
                  <c:v>13707</c:v>
                </c:pt>
                <c:pt idx="192">
                  <c:v>13749</c:v>
                </c:pt>
                <c:pt idx="193">
                  <c:v>13563</c:v>
                </c:pt>
                <c:pt idx="194">
                  <c:v>13517</c:v>
                </c:pt>
                <c:pt idx="195">
                  <c:v>12351</c:v>
                </c:pt>
                <c:pt idx="196">
                  <c:v>12988</c:v>
                </c:pt>
                <c:pt idx="197">
                  <c:v>13379</c:v>
                </c:pt>
                <c:pt idx="198">
                  <c:v>13737</c:v>
                </c:pt>
                <c:pt idx="199">
                  <c:v>13628</c:v>
                </c:pt>
                <c:pt idx="200">
                  <c:v>13274</c:v>
                </c:pt>
                <c:pt idx="201">
                  <c:v>13299</c:v>
                </c:pt>
                <c:pt idx="202">
                  <c:v>13268</c:v>
                </c:pt>
                <c:pt idx="203">
                  <c:v>12845</c:v>
                </c:pt>
                <c:pt idx="204">
                  <c:v>12832</c:v>
                </c:pt>
                <c:pt idx="205">
                  <c:v>12629</c:v>
                </c:pt>
                <c:pt idx="206">
                  <c:v>12328</c:v>
                </c:pt>
                <c:pt idx="207">
                  <c:v>11857</c:v>
                </c:pt>
                <c:pt idx="208">
                  <c:v>11767</c:v>
                </c:pt>
                <c:pt idx="209">
                  <c:v>12102</c:v>
                </c:pt>
                <c:pt idx="210">
                  <c:v>12091</c:v>
                </c:pt>
                <c:pt idx="211">
                  <c:v>12165</c:v>
                </c:pt>
                <c:pt idx="212">
                  <c:v>12051</c:v>
                </c:pt>
                <c:pt idx="213">
                  <c:v>11726</c:v>
                </c:pt>
                <c:pt idx="214">
                  <c:v>11770</c:v>
                </c:pt>
                <c:pt idx="215">
                  <c:v>11987</c:v>
                </c:pt>
                <c:pt idx="216">
                  <c:v>11902</c:v>
                </c:pt>
                <c:pt idx="217">
                  <c:v>11842</c:v>
                </c:pt>
                <c:pt idx="218">
                  <c:v>11238</c:v>
                </c:pt>
                <c:pt idx="219">
                  <c:v>11103</c:v>
                </c:pt>
                <c:pt idx="220">
                  <c:v>10732</c:v>
                </c:pt>
                <c:pt idx="221">
                  <c:v>11024</c:v>
                </c:pt>
                <c:pt idx="222">
                  <c:v>10682</c:v>
                </c:pt>
                <c:pt idx="223">
                  <c:v>10517</c:v>
                </c:pt>
                <c:pt idx="224">
                  <c:v>10512</c:v>
                </c:pt>
                <c:pt idx="225">
                  <c:v>10360</c:v>
                </c:pt>
                <c:pt idx="226">
                  <c:v>10184</c:v>
                </c:pt>
                <c:pt idx="227">
                  <c:v>10279</c:v>
                </c:pt>
                <c:pt idx="228">
                  <c:v>10337</c:v>
                </c:pt>
                <c:pt idx="229">
                  <c:v>10446</c:v>
                </c:pt>
                <c:pt idx="230">
                  <c:v>10196</c:v>
                </c:pt>
                <c:pt idx="231">
                  <c:v>10339</c:v>
                </c:pt>
                <c:pt idx="232">
                  <c:v>11031</c:v>
                </c:pt>
                <c:pt idx="233">
                  <c:v>11678</c:v>
                </c:pt>
                <c:pt idx="234">
                  <c:v>11376</c:v>
                </c:pt>
                <c:pt idx="235">
                  <c:v>11502</c:v>
                </c:pt>
                <c:pt idx="236">
                  <c:v>11757</c:v>
                </c:pt>
                <c:pt idx="237">
                  <c:v>11609</c:v>
                </c:pt>
                <c:pt idx="238">
                  <c:v>11741</c:v>
                </c:pt>
              </c:numCache>
            </c:numRef>
          </c:val>
          <c:extLst>
            <c:ext xmlns:c16="http://schemas.microsoft.com/office/drawing/2014/chart" uri="{C3380CC4-5D6E-409C-BE32-E72D297353CC}">
              <c16:uniqueId val="{00000000-35B2-40A3-A8AA-1FAEA2BFF6B6}"/>
            </c:ext>
          </c:extLst>
        </c:ser>
        <c:dLbls>
          <c:showLegendKey val="0"/>
          <c:showVal val="0"/>
          <c:showCatName val="0"/>
          <c:showSerName val="0"/>
          <c:showPercent val="0"/>
          <c:showBubbleSize val="0"/>
        </c:dLbls>
        <c:axId val="917059647"/>
        <c:axId val="917055807"/>
      </c:areaChart>
      <c:catAx>
        <c:axId val="917059647"/>
        <c:scaling>
          <c:orientation val="minMax"/>
        </c:scaling>
        <c:delete val="1"/>
        <c:axPos val="b"/>
        <c:majorTickMark val="out"/>
        <c:minorTickMark val="none"/>
        <c:tickLblPos val="nextTo"/>
        <c:crossAx val="917055807"/>
        <c:crosses val="autoZero"/>
        <c:auto val="1"/>
        <c:lblAlgn val="ctr"/>
        <c:lblOffset val="100"/>
        <c:noMultiLvlLbl val="0"/>
      </c:catAx>
      <c:valAx>
        <c:axId val="91705580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59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400" b="1">
                <a:latin typeface="Calibri" panose="020F0502020204030204" pitchFamily="34" charset="0"/>
                <a:ea typeface="Calibri" panose="020F0502020204030204" pitchFamily="34" charset="0"/>
                <a:cs typeface="Calibri" panose="020F0502020204030204" pitchFamily="34" charset="0"/>
              </a:rPr>
              <a:t>Close</a:t>
            </a:r>
            <a:r>
              <a:rPr lang="en-IN" sz="1400" b="1" baseline="0">
                <a:latin typeface="Calibri" panose="020F0502020204030204" pitchFamily="34" charset="0"/>
                <a:ea typeface="Calibri" panose="020F0502020204030204" pitchFamily="34" charset="0"/>
                <a:cs typeface="Calibri" panose="020F0502020204030204" pitchFamily="34" charset="0"/>
              </a:rPr>
              <a:t> Last 12 Months</a:t>
            </a:r>
            <a:endParaRPr lang="en-IN" sz="14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lotArea>
      <c:layout/>
      <c:areaChart>
        <c:grouping val="standard"/>
        <c:varyColors val="0"/>
        <c:ser>
          <c:idx val="0"/>
          <c:order val="0"/>
          <c:spPr>
            <a:gradFill>
              <a:gsLst>
                <a:gs pos="0">
                  <a:schemeClr val="accent1">
                    <a:lumMod val="5000"/>
                    <a:lumOff val="95000"/>
                  </a:schemeClr>
                </a:gs>
                <a:gs pos="28000">
                  <a:schemeClr val="tx2">
                    <a:lumMod val="50000"/>
                    <a:lumOff val="50000"/>
                  </a:schemeClr>
                </a:gs>
                <a:gs pos="0">
                  <a:schemeClr val="tx2">
                    <a:lumMod val="75000"/>
                    <a:lumOff val="25000"/>
                  </a:schemeClr>
                </a:gs>
                <a:gs pos="100000">
                  <a:schemeClr val="tx2">
                    <a:lumMod val="25000"/>
                    <a:lumOff val="75000"/>
                  </a:schemeClr>
                </a:gs>
              </a:gsLst>
              <a:lin ang="5400000" scaled="1"/>
            </a:gradFill>
            <a:ln>
              <a:noFill/>
            </a:ln>
            <a:effectLst/>
          </c:spPr>
          <c:val>
            <c:numRef>
              <c:f>'L&amp;T'!$C$3:$IO$3</c:f>
              <c:numCache>
                <c:formatCode>_ [$₹-4009]\ * #,##0.00_ ;_ [$₹-4009]\ * \-#,##0.00_ ;_ [$₹-4009]\ * "-"??_ ;_ @_ </c:formatCode>
                <c:ptCount val="247"/>
                <c:pt idx="0">
                  <c:v>3257.7</c:v>
                </c:pt>
                <c:pt idx="1">
                  <c:v>3225.9</c:v>
                </c:pt>
                <c:pt idx="2">
                  <c:v>3209.5</c:v>
                </c:pt>
                <c:pt idx="3">
                  <c:v>3163.85</c:v>
                </c:pt>
                <c:pt idx="4">
                  <c:v>3197.3</c:v>
                </c:pt>
                <c:pt idx="5">
                  <c:v>3213</c:v>
                </c:pt>
                <c:pt idx="6">
                  <c:v>3239.65</c:v>
                </c:pt>
                <c:pt idx="7">
                  <c:v>3259.9</c:v>
                </c:pt>
                <c:pt idx="8">
                  <c:v>3244.7</c:v>
                </c:pt>
                <c:pt idx="9">
                  <c:v>3177.7</c:v>
                </c:pt>
                <c:pt idx="10">
                  <c:v>3195.45</c:v>
                </c:pt>
                <c:pt idx="11">
                  <c:v>3193.65</c:v>
                </c:pt>
                <c:pt idx="12">
                  <c:v>3187.3</c:v>
                </c:pt>
                <c:pt idx="13">
                  <c:v>3173.45</c:v>
                </c:pt>
                <c:pt idx="14">
                  <c:v>3270.7</c:v>
                </c:pt>
                <c:pt idx="15">
                  <c:v>3319.55</c:v>
                </c:pt>
                <c:pt idx="16">
                  <c:v>3351.05</c:v>
                </c:pt>
                <c:pt idx="17">
                  <c:v>3415.95</c:v>
                </c:pt>
                <c:pt idx="18">
                  <c:v>3481.85</c:v>
                </c:pt>
                <c:pt idx="19">
                  <c:v>3469.6</c:v>
                </c:pt>
                <c:pt idx="20">
                  <c:v>3444.8</c:v>
                </c:pt>
                <c:pt idx="21">
                  <c:v>3501.6</c:v>
                </c:pt>
                <c:pt idx="22">
                  <c:v>3492.3</c:v>
                </c:pt>
                <c:pt idx="23">
                  <c:v>3436.8</c:v>
                </c:pt>
                <c:pt idx="24">
                  <c:v>3419.9</c:v>
                </c:pt>
                <c:pt idx="25">
                  <c:v>3420.15</c:v>
                </c:pt>
                <c:pt idx="26">
                  <c:v>3260.15</c:v>
                </c:pt>
                <c:pt idx="27">
                  <c:v>3068.5</c:v>
                </c:pt>
                <c:pt idx="28">
                  <c:v>3161.1</c:v>
                </c:pt>
                <c:pt idx="29">
                  <c:v>3054.15</c:v>
                </c:pt>
                <c:pt idx="30">
                  <c:v>3115.95</c:v>
                </c:pt>
                <c:pt idx="31">
                  <c:v>3257.6</c:v>
                </c:pt>
                <c:pt idx="32">
                  <c:v>3227.7</c:v>
                </c:pt>
                <c:pt idx="33">
                  <c:v>3247.3</c:v>
                </c:pt>
                <c:pt idx="34">
                  <c:v>3280.5</c:v>
                </c:pt>
                <c:pt idx="35">
                  <c:v>3257.8</c:v>
                </c:pt>
                <c:pt idx="36">
                  <c:v>3301</c:v>
                </c:pt>
                <c:pt idx="37">
                  <c:v>3300.6</c:v>
                </c:pt>
                <c:pt idx="38">
                  <c:v>3272.1</c:v>
                </c:pt>
                <c:pt idx="39">
                  <c:v>3327.3</c:v>
                </c:pt>
                <c:pt idx="40">
                  <c:v>3322.3</c:v>
                </c:pt>
                <c:pt idx="41">
                  <c:v>3341</c:v>
                </c:pt>
                <c:pt idx="42">
                  <c:v>3329.8</c:v>
                </c:pt>
                <c:pt idx="43">
                  <c:v>3330.2</c:v>
                </c:pt>
                <c:pt idx="44">
                  <c:v>3334</c:v>
                </c:pt>
                <c:pt idx="45">
                  <c:v>3321.4</c:v>
                </c:pt>
                <c:pt idx="46">
                  <c:v>3323.9</c:v>
                </c:pt>
                <c:pt idx="47">
                  <c:v>3443.9</c:v>
                </c:pt>
                <c:pt idx="48">
                  <c:v>3587.2</c:v>
                </c:pt>
                <c:pt idx="49">
                  <c:v>3567</c:v>
                </c:pt>
                <c:pt idx="50">
                  <c:v>3573.1</c:v>
                </c:pt>
                <c:pt idx="51">
                  <c:v>3618.2</c:v>
                </c:pt>
                <c:pt idx="52">
                  <c:v>3604.7</c:v>
                </c:pt>
                <c:pt idx="53">
                  <c:v>3600.2</c:v>
                </c:pt>
                <c:pt idx="54">
                  <c:v>3567.8</c:v>
                </c:pt>
                <c:pt idx="55">
                  <c:v>3589</c:v>
                </c:pt>
                <c:pt idx="56">
                  <c:v>3551.4</c:v>
                </c:pt>
                <c:pt idx="57">
                  <c:v>3599.9</c:v>
                </c:pt>
                <c:pt idx="58">
                  <c:v>3648.7</c:v>
                </c:pt>
                <c:pt idx="59">
                  <c:v>3640</c:v>
                </c:pt>
                <c:pt idx="60">
                  <c:v>3646.3</c:v>
                </c:pt>
                <c:pt idx="61">
                  <c:v>3655.3</c:v>
                </c:pt>
                <c:pt idx="62">
                  <c:v>3675.1</c:v>
                </c:pt>
                <c:pt idx="63">
                  <c:v>3679.6</c:v>
                </c:pt>
                <c:pt idx="64">
                  <c:v>3644.8</c:v>
                </c:pt>
                <c:pt idx="65">
                  <c:v>3626.5</c:v>
                </c:pt>
                <c:pt idx="66">
                  <c:v>3642.6</c:v>
                </c:pt>
                <c:pt idx="67">
                  <c:v>3656.3</c:v>
                </c:pt>
                <c:pt idx="68">
                  <c:v>3678.9</c:v>
                </c:pt>
                <c:pt idx="69">
                  <c:v>3679.8</c:v>
                </c:pt>
                <c:pt idx="70">
                  <c:v>3684.8</c:v>
                </c:pt>
                <c:pt idx="71">
                  <c:v>3603.9</c:v>
                </c:pt>
                <c:pt idx="72">
                  <c:v>3587.4</c:v>
                </c:pt>
                <c:pt idx="73">
                  <c:v>3628.7</c:v>
                </c:pt>
                <c:pt idx="74">
                  <c:v>3622.3</c:v>
                </c:pt>
                <c:pt idx="75">
                  <c:v>3601.5</c:v>
                </c:pt>
                <c:pt idx="76">
                  <c:v>3621.1</c:v>
                </c:pt>
                <c:pt idx="77">
                  <c:v>3662</c:v>
                </c:pt>
                <c:pt idx="78">
                  <c:v>3583.7</c:v>
                </c:pt>
                <c:pt idx="79">
                  <c:v>3604.8</c:v>
                </c:pt>
                <c:pt idx="80">
                  <c:v>3619.8</c:v>
                </c:pt>
                <c:pt idx="81">
                  <c:v>3659.6</c:v>
                </c:pt>
                <c:pt idx="82">
                  <c:v>3679.2</c:v>
                </c:pt>
                <c:pt idx="83">
                  <c:v>3669.8</c:v>
                </c:pt>
                <c:pt idx="84">
                  <c:v>3666.7</c:v>
                </c:pt>
                <c:pt idx="85">
                  <c:v>3596.8</c:v>
                </c:pt>
                <c:pt idx="86">
                  <c:v>3582.9</c:v>
                </c:pt>
                <c:pt idx="87">
                  <c:v>3594.6</c:v>
                </c:pt>
                <c:pt idx="88">
                  <c:v>3581.4</c:v>
                </c:pt>
                <c:pt idx="89">
                  <c:v>3606.4</c:v>
                </c:pt>
                <c:pt idx="90">
                  <c:v>3579.7</c:v>
                </c:pt>
                <c:pt idx="91">
                  <c:v>3574.7</c:v>
                </c:pt>
                <c:pt idx="92">
                  <c:v>3540.6</c:v>
                </c:pt>
                <c:pt idx="93">
                  <c:v>3495.9</c:v>
                </c:pt>
                <c:pt idx="94">
                  <c:v>3494</c:v>
                </c:pt>
                <c:pt idx="95">
                  <c:v>3503.8</c:v>
                </c:pt>
                <c:pt idx="96">
                  <c:v>3474</c:v>
                </c:pt>
                <c:pt idx="97">
                  <c:v>3464.8</c:v>
                </c:pt>
                <c:pt idx="98">
                  <c:v>3502.8</c:v>
                </c:pt>
                <c:pt idx="99">
                  <c:v>3464.6</c:v>
                </c:pt>
                <c:pt idx="100">
                  <c:v>3484.9</c:v>
                </c:pt>
                <c:pt idx="101">
                  <c:v>3477.5</c:v>
                </c:pt>
                <c:pt idx="102">
                  <c:v>3442.9</c:v>
                </c:pt>
                <c:pt idx="103">
                  <c:v>3422.2</c:v>
                </c:pt>
                <c:pt idx="104">
                  <c:v>3495.6</c:v>
                </c:pt>
                <c:pt idx="105">
                  <c:v>3665.1</c:v>
                </c:pt>
                <c:pt idx="106">
                  <c:v>3636.5</c:v>
                </c:pt>
                <c:pt idx="107">
                  <c:v>3587.3</c:v>
                </c:pt>
                <c:pt idx="108">
                  <c:v>3631.1</c:v>
                </c:pt>
                <c:pt idx="109">
                  <c:v>3652.6</c:v>
                </c:pt>
                <c:pt idx="110">
                  <c:v>3628.4</c:v>
                </c:pt>
                <c:pt idx="111">
                  <c:v>3641.6</c:v>
                </c:pt>
                <c:pt idx="112">
                  <c:v>3607.6</c:v>
                </c:pt>
                <c:pt idx="113">
                  <c:v>3668.4</c:v>
                </c:pt>
                <c:pt idx="114">
                  <c:v>3686.1</c:v>
                </c:pt>
                <c:pt idx="115">
                  <c:v>3693.7</c:v>
                </c:pt>
                <c:pt idx="116">
                  <c:v>3677</c:v>
                </c:pt>
                <c:pt idx="117">
                  <c:v>3635.1</c:v>
                </c:pt>
                <c:pt idx="118">
                  <c:v>3613</c:v>
                </c:pt>
                <c:pt idx="119">
                  <c:v>3592.3</c:v>
                </c:pt>
                <c:pt idx="120">
                  <c:v>3612.6</c:v>
                </c:pt>
                <c:pt idx="121">
                  <c:v>3595.8</c:v>
                </c:pt>
                <c:pt idx="122">
                  <c:v>3603.1</c:v>
                </c:pt>
                <c:pt idx="123">
                  <c:v>3541.3</c:v>
                </c:pt>
                <c:pt idx="124">
                  <c:v>3560.1</c:v>
                </c:pt>
                <c:pt idx="125">
                  <c:v>3601</c:v>
                </c:pt>
                <c:pt idx="126">
                  <c:v>3598.4</c:v>
                </c:pt>
                <c:pt idx="127">
                  <c:v>3574.9</c:v>
                </c:pt>
                <c:pt idx="128">
                  <c:v>3600.8</c:v>
                </c:pt>
                <c:pt idx="129">
                  <c:v>3592.6</c:v>
                </c:pt>
                <c:pt idx="130">
                  <c:v>3553.6</c:v>
                </c:pt>
                <c:pt idx="131">
                  <c:v>3529.6</c:v>
                </c:pt>
                <c:pt idx="132">
                  <c:v>3525</c:v>
                </c:pt>
                <c:pt idx="133">
                  <c:v>3550</c:v>
                </c:pt>
                <c:pt idx="134">
                  <c:v>3539.7</c:v>
                </c:pt>
                <c:pt idx="135">
                  <c:v>3579.8</c:v>
                </c:pt>
                <c:pt idx="136">
                  <c:v>3586.2</c:v>
                </c:pt>
                <c:pt idx="137">
                  <c:v>3667.8</c:v>
                </c:pt>
                <c:pt idx="138">
                  <c:v>3685.5</c:v>
                </c:pt>
                <c:pt idx="139">
                  <c:v>3686</c:v>
                </c:pt>
                <c:pt idx="140">
                  <c:v>3675.4</c:v>
                </c:pt>
                <c:pt idx="141">
                  <c:v>3644.5</c:v>
                </c:pt>
                <c:pt idx="142">
                  <c:v>3657.6</c:v>
                </c:pt>
                <c:pt idx="143">
                  <c:v>3673.8</c:v>
                </c:pt>
                <c:pt idx="144">
                  <c:v>3644.4</c:v>
                </c:pt>
                <c:pt idx="145">
                  <c:v>3729.5</c:v>
                </c:pt>
                <c:pt idx="146">
                  <c:v>3688.4</c:v>
                </c:pt>
                <c:pt idx="147">
                  <c:v>3659</c:v>
                </c:pt>
                <c:pt idx="148">
                  <c:v>3670.3</c:v>
                </c:pt>
                <c:pt idx="149">
                  <c:v>3733.1</c:v>
                </c:pt>
                <c:pt idx="150">
                  <c:v>3737</c:v>
                </c:pt>
                <c:pt idx="151">
                  <c:v>3729.7</c:v>
                </c:pt>
                <c:pt idx="152">
                  <c:v>3729.8</c:v>
                </c:pt>
                <c:pt idx="153">
                  <c:v>3769.2</c:v>
                </c:pt>
                <c:pt idx="154">
                  <c:v>3784</c:v>
                </c:pt>
                <c:pt idx="155">
                  <c:v>3769.5</c:v>
                </c:pt>
                <c:pt idx="156">
                  <c:v>3744.3</c:v>
                </c:pt>
                <c:pt idx="157">
                  <c:v>3828.7</c:v>
                </c:pt>
                <c:pt idx="158">
                  <c:v>3861.8</c:v>
                </c:pt>
                <c:pt idx="159">
                  <c:v>3839.4</c:v>
                </c:pt>
                <c:pt idx="160">
                  <c:v>3872.7</c:v>
                </c:pt>
                <c:pt idx="161">
                  <c:v>3888.2</c:v>
                </c:pt>
                <c:pt idx="162">
                  <c:v>3918.7</c:v>
                </c:pt>
                <c:pt idx="163">
                  <c:v>3904.9</c:v>
                </c:pt>
                <c:pt idx="164">
                  <c:v>3923.8</c:v>
                </c:pt>
                <c:pt idx="165">
                  <c:v>3972.8</c:v>
                </c:pt>
                <c:pt idx="166">
                  <c:v>3958.1</c:v>
                </c:pt>
                <c:pt idx="167">
                  <c:v>3987.5</c:v>
                </c:pt>
                <c:pt idx="168">
                  <c:v>4030.9</c:v>
                </c:pt>
                <c:pt idx="169">
                  <c:v>3980.5</c:v>
                </c:pt>
                <c:pt idx="170">
                  <c:v>3924.4</c:v>
                </c:pt>
                <c:pt idx="171">
                  <c:v>3881.6</c:v>
                </c:pt>
                <c:pt idx="172">
                  <c:v>3882.5</c:v>
                </c:pt>
                <c:pt idx="173">
                  <c:v>3918.5</c:v>
                </c:pt>
                <c:pt idx="174">
                  <c:v>3955</c:v>
                </c:pt>
                <c:pt idx="175">
                  <c:v>3954.6</c:v>
                </c:pt>
                <c:pt idx="176">
                  <c:v>4002.5</c:v>
                </c:pt>
                <c:pt idx="177">
                  <c:v>4004.4</c:v>
                </c:pt>
                <c:pt idx="178">
                  <c:v>4027.7</c:v>
                </c:pt>
                <c:pt idx="179">
                  <c:v>3999.6</c:v>
                </c:pt>
                <c:pt idx="180">
                  <c:v>4019.6</c:v>
                </c:pt>
                <c:pt idx="181">
                  <c:v>4037.4</c:v>
                </c:pt>
                <c:pt idx="182">
                  <c:v>4024.9</c:v>
                </c:pt>
                <c:pt idx="183">
                  <c:v>4013.3</c:v>
                </c:pt>
                <c:pt idx="184">
                  <c:v>3996.7</c:v>
                </c:pt>
                <c:pt idx="185">
                  <c:v>4062</c:v>
                </c:pt>
                <c:pt idx="186">
                  <c:v>4081.3</c:v>
                </c:pt>
                <c:pt idx="187">
                  <c:v>4069.6</c:v>
                </c:pt>
                <c:pt idx="188">
                  <c:v>4073.2</c:v>
                </c:pt>
                <c:pt idx="189">
                  <c:v>4030.5</c:v>
                </c:pt>
                <c:pt idx="190">
                  <c:v>3988</c:v>
                </c:pt>
                <c:pt idx="191">
                  <c:v>3983.6</c:v>
                </c:pt>
                <c:pt idx="192">
                  <c:v>4038.2</c:v>
                </c:pt>
                <c:pt idx="193">
                  <c:v>3996.7</c:v>
                </c:pt>
                <c:pt idx="194">
                  <c:v>3997.5</c:v>
                </c:pt>
                <c:pt idx="195">
                  <c:v>3991.3</c:v>
                </c:pt>
                <c:pt idx="196">
                  <c:v>4003.9</c:v>
                </c:pt>
                <c:pt idx="197">
                  <c:v>4074.1</c:v>
                </c:pt>
                <c:pt idx="198">
                  <c:v>4092.3</c:v>
                </c:pt>
                <c:pt idx="199">
                  <c:v>4063.8</c:v>
                </c:pt>
                <c:pt idx="200">
                  <c:v>4062.4</c:v>
                </c:pt>
                <c:pt idx="201">
                  <c:v>4031.1</c:v>
                </c:pt>
                <c:pt idx="202">
                  <c:v>4073.5</c:v>
                </c:pt>
                <c:pt idx="203">
                  <c:v>4072.4</c:v>
                </c:pt>
                <c:pt idx="204">
                  <c:v>4058.8</c:v>
                </c:pt>
                <c:pt idx="205">
                  <c:v>4053.6</c:v>
                </c:pt>
                <c:pt idx="206">
                  <c:v>4047.3</c:v>
                </c:pt>
                <c:pt idx="207">
                  <c:v>4038.7</c:v>
                </c:pt>
                <c:pt idx="208">
                  <c:v>4052</c:v>
                </c:pt>
                <c:pt idx="209">
                  <c:v>4083.5</c:v>
                </c:pt>
                <c:pt idx="210">
                  <c:v>4140.3999999999996</c:v>
                </c:pt>
                <c:pt idx="211">
                  <c:v>4163.3999999999996</c:v>
                </c:pt>
                <c:pt idx="212">
                  <c:v>4150.3999999999996</c:v>
                </c:pt>
                <c:pt idx="213">
                  <c:v>4140.6000000000004</c:v>
                </c:pt>
                <c:pt idx="214">
                  <c:v>4157</c:v>
                </c:pt>
                <c:pt idx="215">
                  <c:v>4028.4</c:v>
                </c:pt>
                <c:pt idx="216">
                  <c:v>4025.2</c:v>
                </c:pt>
                <c:pt idx="217">
                  <c:v>4019</c:v>
                </c:pt>
                <c:pt idx="218">
                  <c:v>3887.4</c:v>
                </c:pt>
                <c:pt idx="219">
                  <c:v>3865.8</c:v>
                </c:pt>
                <c:pt idx="220">
                  <c:v>3856.4</c:v>
                </c:pt>
                <c:pt idx="221">
                  <c:v>3869.8</c:v>
                </c:pt>
                <c:pt idx="222">
                  <c:v>3810.5</c:v>
                </c:pt>
                <c:pt idx="223">
                  <c:v>3766.5</c:v>
                </c:pt>
                <c:pt idx="224">
                  <c:v>3793.8</c:v>
                </c:pt>
                <c:pt idx="225">
                  <c:v>3743.8</c:v>
                </c:pt>
                <c:pt idx="226">
                  <c:v>3787.8</c:v>
                </c:pt>
                <c:pt idx="227">
                  <c:v>3794</c:v>
                </c:pt>
                <c:pt idx="228">
                  <c:v>3932.9</c:v>
                </c:pt>
                <c:pt idx="229">
                  <c:v>3932.3</c:v>
                </c:pt>
                <c:pt idx="230">
                  <c:v>3814</c:v>
                </c:pt>
                <c:pt idx="231">
                  <c:v>3921.3</c:v>
                </c:pt>
                <c:pt idx="232">
                  <c:v>4038.8</c:v>
                </c:pt>
                <c:pt idx="233">
                  <c:v>4087.1</c:v>
                </c:pt>
                <c:pt idx="234">
                  <c:v>4063.3</c:v>
                </c:pt>
                <c:pt idx="235">
                  <c:v>4068.1</c:v>
                </c:pt>
                <c:pt idx="236">
                  <c:v>4113.6000000000004</c:v>
                </c:pt>
                <c:pt idx="237">
                  <c:v>4169</c:v>
                </c:pt>
                <c:pt idx="238">
                  <c:v>4170.3999999999996</c:v>
                </c:pt>
              </c:numCache>
            </c:numRef>
          </c:val>
          <c:extLst>
            <c:ext xmlns:c16="http://schemas.microsoft.com/office/drawing/2014/chart" uri="{C3380CC4-5D6E-409C-BE32-E72D297353CC}">
              <c16:uniqueId val="{00000000-68A2-402D-A31D-3679636E0699}"/>
            </c:ext>
          </c:extLst>
        </c:ser>
        <c:dLbls>
          <c:showLegendKey val="0"/>
          <c:showVal val="0"/>
          <c:showCatName val="0"/>
          <c:showSerName val="0"/>
          <c:showPercent val="0"/>
          <c:showBubbleSize val="0"/>
        </c:dLbls>
        <c:axId val="1563101312"/>
        <c:axId val="1563084992"/>
      </c:areaChart>
      <c:catAx>
        <c:axId val="1563101312"/>
        <c:scaling>
          <c:orientation val="minMax"/>
        </c:scaling>
        <c:delete val="1"/>
        <c:axPos val="b"/>
        <c:majorTickMark val="out"/>
        <c:minorTickMark val="none"/>
        <c:tickLblPos val="nextTo"/>
        <c:crossAx val="1563084992"/>
        <c:crosses val="autoZero"/>
        <c:auto val="1"/>
        <c:lblAlgn val="ctr"/>
        <c:lblOffset val="100"/>
        <c:noMultiLvlLbl val="0"/>
      </c:catAx>
      <c:valAx>
        <c:axId val="156308499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1013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'L&amp;T'!$B$1</c:f>
          <c:strCache>
            <c:ptCount val="1"/>
            <c:pt idx="0">
              <c:v>LARSEN AND TOUBRO LIMITED (XNSE:LT)</c:v>
            </c:pt>
          </c:strCache>
        </c:strRef>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0"/>
          <c:order val="0"/>
          <c:tx>
            <c:strRef>
              <c:f>'L&amp;T'!$B$6</c:f>
              <c:strCache>
                <c:ptCount val="1"/>
                <c:pt idx="0">
                  <c:v>Volume</c:v>
                </c:pt>
              </c:strCache>
            </c:strRef>
          </c:tx>
          <c:spPr>
            <a:solidFill>
              <a:schemeClr val="accent1"/>
            </a:solidFill>
            <a:ln w="38100">
              <a:noFill/>
            </a:ln>
            <a:effectLst/>
          </c:spPr>
          <c:invertIfNegative val="0"/>
          <c:cat>
            <c:numRef>
              <c:f>'L&amp;T'!$A$7:$A$27</c:f>
              <c:numCache>
                <c:formatCode>m/d/yyyy</c:formatCode>
                <c:ptCount val="21"/>
                <c:pt idx="0">
                  <c:v>46045</c:v>
                </c:pt>
                <c:pt idx="1">
                  <c:v>46049</c:v>
                </c:pt>
                <c:pt idx="2">
                  <c:v>46050</c:v>
                </c:pt>
                <c:pt idx="3">
                  <c:v>46051</c:v>
                </c:pt>
                <c:pt idx="4">
                  <c:v>46052</c:v>
                </c:pt>
                <c:pt idx="5">
                  <c:v>46054</c:v>
                </c:pt>
                <c:pt idx="6">
                  <c:v>46055</c:v>
                </c:pt>
                <c:pt idx="7">
                  <c:v>46056</c:v>
                </c:pt>
                <c:pt idx="8">
                  <c:v>46057</c:v>
                </c:pt>
                <c:pt idx="9">
                  <c:v>46058</c:v>
                </c:pt>
                <c:pt idx="10">
                  <c:v>46059</c:v>
                </c:pt>
                <c:pt idx="11">
                  <c:v>46062</c:v>
                </c:pt>
                <c:pt idx="12">
                  <c:v>46063</c:v>
                </c:pt>
                <c:pt idx="13">
                  <c:v>46064</c:v>
                </c:pt>
              </c:numCache>
            </c:numRef>
          </c:cat>
          <c:val>
            <c:numRef>
              <c:f>'L&amp;T'!$B$7:$B$27</c:f>
              <c:numCache>
                <c:formatCode>#,##0</c:formatCode>
                <c:ptCount val="21"/>
                <c:pt idx="0">
                  <c:v>1898703</c:v>
                </c:pt>
                <c:pt idx="1">
                  <c:v>2162193</c:v>
                </c:pt>
                <c:pt idx="2">
                  <c:v>2111741</c:v>
                </c:pt>
                <c:pt idx="3">
                  <c:v>4227139</c:v>
                </c:pt>
                <c:pt idx="4">
                  <c:v>2208465</c:v>
                </c:pt>
                <c:pt idx="5">
                  <c:v>2654727</c:v>
                </c:pt>
                <c:pt idx="6">
                  <c:v>3034613</c:v>
                </c:pt>
                <c:pt idx="7">
                  <c:v>3742190</c:v>
                </c:pt>
                <c:pt idx="8">
                  <c:v>1403373</c:v>
                </c:pt>
                <c:pt idx="9">
                  <c:v>1433240</c:v>
                </c:pt>
                <c:pt idx="10">
                  <c:v>1630836</c:v>
                </c:pt>
                <c:pt idx="11">
                  <c:v>1830267</c:v>
                </c:pt>
                <c:pt idx="12">
                  <c:v>1890409</c:v>
                </c:pt>
                <c:pt idx="13">
                  <c:v>1689489</c:v>
                </c:pt>
              </c:numCache>
            </c:numRef>
          </c:val>
          <c:extLst>
            <c:ext xmlns:c16="http://schemas.microsoft.com/office/drawing/2014/chart" uri="{C3380CC4-5D6E-409C-BE32-E72D297353CC}">
              <c16:uniqueId val="{00000000-BD3A-46AA-9775-8205C88004F8}"/>
            </c:ext>
          </c:extLst>
        </c:ser>
        <c:dLbls>
          <c:showLegendKey val="0"/>
          <c:showVal val="0"/>
          <c:showCatName val="0"/>
          <c:showSerName val="0"/>
          <c:showPercent val="0"/>
          <c:showBubbleSize val="0"/>
        </c:dLbls>
        <c:gapWidth val="150"/>
        <c:axId val="1563016832"/>
        <c:axId val="1563000512"/>
      </c:barChart>
      <c:stockChart>
        <c:ser>
          <c:idx val="1"/>
          <c:order val="1"/>
          <c:tx>
            <c:strRef>
              <c:f>'L&amp;T'!$C$6</c:f>
              <c:strCache>
                <c:ptCount val="1"/>
                <c:pt idx="0">
                  <c:v>Open</c:v>
                </c:pt>
              </c:strCache>
            </c:strRef>
          </c:tx>
          <c:spPr>
            <a:ln w="38100" cap="rnd">
              <a:noFill/>
              <a:round/>
            </a:ln>
            <a:effectLst/>
          </c:spPr>
          <c:marker>
            <c:symbol val="none"/>
          </c:marker>
          <c:cat>
            <c:numRef>
              <c:f>'L&amp;T'!$A$7:$A$27</c:f>
              <c:numCache>
                <c:formatCode>m/d/yyyy</c:formatCode>
                <c:ptCount val="21"/>
                <c:pt idx="0">
                  <c:v>46045</c:v>
                </c:pt>
                <c:pt idx="1">
                  <c:v>46049</c:v>
                </c:pt>
                <c:pt idx="2">
                  <c:v>46050</c:v>
                </c:pt>
                <c:pt idx="3">
                  <c:v>46051</c:v>
                </c:pt>
                <c:pt idx="4">
                  <c:v>46052</c:v>
                </c:pt>
                <c:pt idx="5">
                  <c:v>46054</c:v>
                </c:pt>
                <c:pt idx="6">
                  <c:v>46055</c:v>
                </c:pt>
                <c:pt idx="7">
                  <c:v>46056</c:v>
                </c:pt>
                <c:pt idx="8">
                  <c:v>46057</c:v>
                </c:pt>
                <c:pt idx="9">
                  <c:v>46058</c:v>
                </c:pt>
                <c:pt idx="10">
                  <c:v>46059</c:v>
                </c:pt>
                <c:pt idx="11">
                  <c:v>46062</c:v>
                </c:pt>
                <c:pt idx="12">
                  <c:v>46063</c:v>
                </c:pt>
                <c:pt idx="13">
                  <c:v>46064</c:v>
                </c:pt>
              </c:numCache>
            </c:numRef>
          </c:cat>
          <c:val>
            <c:numRef>
              <c:f>'L&amp;T'!$C$7:$C$27</c:f>
              <c:numCache>
                <c:formatCode>_ [$₹-4009]\ * #,##0.00_ ;_ [$₹-4009]\ * \-#,##0.00_ ;_ [$₹-4009]\ * "-"??_ ;_ @_ </c:formatCode>
                <c:ptCount val="21"/>
                <c:pt idx="0">
                  <c:v>3798</c:v>
                </c:pt>
                <c:pt idx="1">
                  <c:v>3743.8</c:v>
                </c:pt>
                <c:pt idx="2">
                  <c:v>3804.3</c:v>
                </c:pt>
                <c:pt idx="3">
                  <c:v>3860</c:v>
                </c:pt>
                <c:pt idx="4">
                  <c:v>3902.5</c:v>
                </c:pt>
                <c:pt idx="5">
                  <c:v>3953</c:v>
                </c:pt>
                <c:pt idx="6">
                  <c:v>3830.7</c:v>
                </c:pt>
                <c:pt idx="7">
                  <c:v>4117</c:v>
                </c:pt>
                <c:pt idx="8">
                  <c:v>4029</c:v>
                </c:pt>
                <c:pt idx="9">
                  <c:v>4088</c:v>
                </c:pt>
                <c:pt idx="10">
                  <c:v>4055</c:v>
                </c:pt>
                <c:pt idx="11">
                  <c:v>4073.9</c:v>
                </c:pt>
                <c:pt idx="12">
                  <c:v>4140</c:v>
                </c:pt>
                <c:pt idx="13">
                  <c:v>4172.8999999999996</c:v>
                </c:pt>
              </c:numCache>
            </c:numRef>
          </c:val>
          <c:smooth val="0"/>
          <c:extLst>
            <c:ext xmlns:c16="http://schemas.microsoft.com/office/drawing/2014/chart" uri="{C3380CC4-5D6E-409C-BE32-E72D297353CC}">
              <c16:uniqueId val="{00000001-BD3A-46AA-9775-8205C88004F8}"/>
            </c:ext>
          </c:extLst>
        </c:ser>
        <c:ser>
          <c:idx val="2"/>
          <c:order val="2"/>
          <c:tx>
            <c:strRef>
              <c:f>'L&amp;T'!$D$6</c:f>
              <c:strCache>
                <c:ptCount val="1"/>
                <c:pt idx="0">
                  <c:v>High</c:v>
                </c:pt>
              </c:strCache>
            </c:strRef>
          </c:tx>
          <c:spPr>
            <a:ln w="38100" cap="rnd">
              <a:noFill/>
              <a:round/>
            </a:ln>
            <a:effectLst/>
          </c:spPr>
          <c:marker>
            <c:symbol val="none"/>
          </c:marker>
          <c:cat>
            <c:numRef>
              <c:f>'L&amp;T'!$A$7:$A$27</c:f>
              <c:numCache>
                <c:formatCode>m/d/yyyy</c:formatCode>
                <c:ptCount val="21"/>
                <c:pt idx="0">
                  <c:v>46045</c:v>
                </c:pt>
                <c:pt idx="1">
                  <c:v>46049</c:v>
                </c:pt>
                <c:pt idx="2">
                  <c:v>46050</c:v>
                </c:pt>
                <c:pt idx="3">
                  <c:v>46051</c:v>
                </c:pt>
                <c:pt idx="4">
                  <c:v>46052</c:v>
                </c:pt>
                <c:pt idx="5">
                  <c:v>46054</c:v>
                </c:pt>
                <c:pt idx="6">
                  <c:v>46055</c:v>
                </c:pt>
                <c:pt idx="7">
                  <c:v>46056</c:v>
                </c:pt>
                <c:pt idx="8">
                  <c:v>46057</c:v>
                </c:pt>
                <c:pt idx="9">
                  <c:v>46058</c:v>
                </c:pt>
                <c:pt idx="10">
                  <c:v>46059</c:v>
                </c:pt>
                <c:pt idx="11">
                  <c:v>46062</c:v>
                </c:pt>
                <c:pt idx="12">
                  <c:v>46063</c:v>
                </c:pt>
                <c:pt idx="13">
                  <c:v>46064</c:v>
                </c:pt>
              </c:numCache>
            </c:numRef>
          </c:cat>
          <c:val>
            <c:numRef>
              <c:f>'L&amp;T'!$D$7:$D$27</c:f>
              <c:numCache>
                <c:formatCode>_ [$₹-4009]\ * #,##0.00_ ;_ [$₹-4009]\ * \-#,##0.00_ ;_ [$₹-4009]\ * "-"??_ ;_ @_ </c:formatCode>
                <c:ptCount val="21"/>
                <c:pt idx="0">
                  <c:v>3799.4</c:v>
                </c:pt>
                <c:pt idx="1">
                  <c:v>3815</c:v>
                </c:pt>
                <c:pt idx="2">
                  <c:v>3828.2</c:v>
                </c:pt>
                <c:pt idx="3">
                  <c:v>3960.9</c:v>
                </c:pt>
                <c:pt idx="4">
                  <c:v>3942.4</c:v>
                </c:pt>
                <c:pt idx="5">
                  <c:v>4042.8</c:v>
                </c:pt>
                <c:pt idx="6">
                  <c:v>3934.8</c:v>
                </c:pt>
                <c:pt idx="7">
                  <c:v>4122</c:v>
                </c:pt>
                <c:pt idx="8">
                  <c:v>4107</c:v>
                </c:pt>
                <c:pt idx="9">
                  <c:v>4088.5</c:v>
                </c:pt>
                <c:pt idx="10">
                  <c:v>4078</c:v>
                </c:pt>
                <c:pt idx="11">
                  <c:v>4124.7</c:v>
                </c:pt>
                <c:pt idx="12">
                  <c:v>4174.6000000000004</c:v>
                </c:pt>
                <c:pt idx="13">
                  <c:v>4187.7</c:v>
                </c:pt>
              </c:numCache>
            </c:numRef>
          </c:val>
          <c:smooth val="0"/>
          <c:extLst>
            <c:ext xmlns:c16="http://schemas.microsoft.com/office/drawing/2014/chart" uri="{C3380CC4-5D6E-409C-BE32-E72D297353CC}">
              <c16:uniqueId val="{00000002-BD3A-46AA-9775-8205C88004F8}"/>
            </c:ext>
          </c:extLst>
        </c:ser>
        <c:ser>
          <c:idx val="3"/>
          <c:order val="3"/>
          <c:tx>
            <c:strRef>
              <c:f>'L&amp;T'!$E$6</c:f>
              <c:strCache>
                <c:ptCount val="1"/>
                <c:pt idx="0">
                  <c:v>Low</c:v>
                </c:pt>
              </c:strCache>
            </c:strRef>
          </c:tx>
          <c:spPr>
            <a:ln w="38100" cap="rnd">
              <a:noFill/>
              <a:round/>
            </a:ln>
            <a:effectLst/>
          </c:spPr>
          <c:marker>
            <c:symbol val="none"/>
          </c:marker>
          <c:cat>
            <c:numRef>
              <c:f>'L&amp;T'!$A$7:$A$27</c:f>
              <c:numCache>
                <c:formatCode>m/d/yyyy</c:formatCode>
                <c:ptCount val="21"/>
                <c:pt idx="0">
                  <c:v>46045</c:v>
                </c:pt>
                <c:pt idx="1">
                  <c:v>46049</c:v>
                </c:pt>
                <c:pt idx="2">
                  <c:v>46050</c:v>
                </c:pt>
                <c:pt idx="3">
                  <c:v>46051</c:v>
                </c:pt>
                <c:pt idx="4">
                  <c:v>46052</c:v>
                </c:pt>
                <c:pt idx="5">
                  <c:v>46054</c:v>
                </c:pt>
                <c:pt idx="6">
                  <c:v>46055</c:v>
                </c:pt>
                <c:pt idx="7">
                  <c:v>46056</c:v>
                </c:pt>
                <c:pt idx="8">
                  <c:v>46057</c:v>
                </c:pt>
                <c:pt idx="9">
                  <c:v>46058</c:v>
                </c:pt>
                <c:pt idx="10">
                  <c:v>46059</c:v>
                </c:pt>
                <c:pt idx="11">
                  <c:v>46062</c:v>
                </c:pt>
                <c:pt idx="12">
                  <c:v>46063</c:v>
                </c:pt>
                <c:pt idx="13">
                  <c:v>46064</c:v>
                </c:pt>
              </c:numCache>
            </c:numRef>
          </c:cat>
          <c:val>
            <c:numRef>
              <c:f>'L&amp;T'!$E$7:$E$27</c:f>
              <c:numCache>
                <c:formatCode>_ [$₹-4009]\ * #,##0.00_ ;_ [$₹-4009]\ * \-#,##0.00_ ;_ [$₹-4009]\ * "-"??_ ;_ @_ </c:formatCode>
                <c:ptCount val="21"/>
                <c:pt idx="0">
                  <c:v>3720.1</c:v>
                </c:pt>
                <c:pt idx="1">
                  <c:v>3739</c:v>
                </c:pt>
                <c:pt idx="2">
                  <c:v>3769.1</c:v>
                </c:pt>
                <c:pt idx="3">
                  <c:v>3843.6</c:v>
                </c:pt>
                <c:pt idx="4">
                  <c:v>3891.8</c:v>
                </c:pt>
                <c:pt idx="5">
                  <c:v>3756</c:v>
                </c:pt>
                <c:pt idx="6">
                  <c:v>3825</c:v>
                </c:pt>
                <c:pt idx="7">
                  <c:v>4030.6</c:v>
                </c:pt>
                <c:pt idx="8">
                  <c:v>4016.9</c:v>
                </c:pt>
                <c:pt idx="9">
                  <c:v>4035.9</c:v>
                </c:pt>
                <c:pt idx="10">
                  <c:v>4042.3</c:v>
                </c:pt>
                <c:pt idx="11">
                  <c:v>4062.4</c:v>
                </c:pt>
                <c:pt idx="12">
                  <c:v>4122.3999999999996</c:v>
                </c:pt>
                <c:pt idx="13">
                  <c:v>4140.3</c:v>
                </c:pt>
              </c:numCache>
            </c:numRef>
          </c:val>
          <c:smooth val="0"/>
          <c:extLst>
            <c:ext xmlns:c16="http://schemas.microsoft.com/office/drawing/2014/chart" uri="{C3380CC4-5D6E-409C-BE32-E72D297353CC}">
              <c16:uniqueId val="{00000003-BD3A-46AA-9775-8205C88004F8}"/>
            </c:ext>
          </c:extLst>
        </c:ser>
        <c:ser>
          <c:idx val="4"/>
          <c:order val="4"/>
          <c:tx>
            <c:strRef>
              <c:f>'L&amp;T'!$F$6</c:f>
              <c:strCache>
                <c:ptCount val="1"/>
                <c:pt idx="0">
                  <c:v>Close</c:v>
                </c:pt>
              </c:strCache>
            </c:strRef>
          </c:tx>
          <c:spPr>
            <a:ln w="38100" cap="rnd">
              <a:noFill/>
              <a:round/>
            </a:ln>
            <a:effectLst/>
          </c:spPr>
          <c:marker>
            <c:symbol val="none"/>
          </c:marker>
          <c:cat>
            <c:numRef>
              <c:f>'L&amp;T'!$A$7:$A$27</c:f>
              <c:numCache>
                <c:formatCode>m/d/yyyy</c:formatCode>
                <c:ptCount val="21"/>
                <c:pt idx="0">
                  <c:v>46045</c:v>
                </c:pt>
                <c:pt idx="1">
                  <c:v>46049</c:v>
                </c:pt>
                <c:pt idx="2">
                  <c:v>46050</c:v>
                </c:pt>
                <c:pt idx="3">
                  <c:v>46051</c:v>
                </c:pt>
                <c:pt idx="4">
                  <c:v>46052</c:v>
                </c:pt>
                <c:pt idx="5">
                  <c:v>46054</c:v>
                </c:pt>
                <c:pt idx="6">
                  <c:v>46055</c:v>
                </c:pt>
                <c:pt idx="7">
                  <c:v>46056</c:v>
                </c:pt>
                <c:pt idx="8">
                  <c:v>46057</c:v>
                </c:pt>
                <c:pt idx="9">
                  <c:v>46058</c:v>
                </c:pt>
                <c:pt idx="10">
                  <c:v>46059</c:v>
                </c:pt>
                <c:pt idx="11">
                  <c:v>46062</c:v>
                </c:pt>
                <c:pt idx="12">
                  <c:v>46063</c:v>
                </c:pt>
                <c:pt idx="13">
                  <c:v>46064</c:v>
                </c:pt>
              </c:numCache>
            </c:numRef>
          </c:cat>
          <c:val>
            <c:numRef>
              <c:f>'L&amp;T'!$F$7:$F$27</c:f>
              <c:numCache>
                <c:formatCode>_ [$₹-4009]\ * #,##0.00_ ;_ [$₹-4009]\ * \-#,##0.00_ ;_ [$₹-4009]\ * "-"??_ ;_ @_ </c:formatCode>
                <c:ptCount val="21"/>
                <c:pt idx="0">
                  <c:v>3743.8</c:v>
                </c:pt>
                <c:pt idx="1">
                  <c:v>3787.8</c:v>
                </c:pt>
                <c:pt idx="2">
                  <c:v>3794</c:v>
                </c:pt>
                <c:pt idx="3">
                  <c:v>3932.9</c:v>
                </c:pt>
                <c:pt idx="4">
                  <c:v>3932.3</c:v>
                </c:pt>
                <c:pt idx="5">
                  <c:v>3814</c:v>
                </c:pt>
                <c:pt idx="6">
                  <c:v>3921.3</c:v>
                </c:pt>
                <c:pt idx="7">
                  <c:v>4038.8</c:v>
                </c:pt>
                <c:pt idx="8">
                  <c:v>4087.1</c:v>
                </c:pt>
                <c:pt idx="9">
                  <c:v>4063.3</c:v>
                </c:pt>
                <c:pt idx="10">
                  <c:v>4068.1</c:v>
                </c:pt>
                <c:pt idx="11">
                  <c:v>4113.6000000000004</c:v>
                </c:pt>
                <c:pt idx="12">
                  <c:v>4169</c:v>
                </c:pt>
                <c:pt idx="13">
                  <c:v>4170.3999999999996</c:v>
                </c:pt>
              </c:numCache>
            </c:numRef>
          </c:val>
          <c:smooth val="0"/>
          <c:extLst>
            <c:ext xmlns:c16="http://schemas.microsoft.com/office/drawing/2014/chart" uri="{C3380CC4-5D6E-409C-BE32-E72D297353CC}">
              <c16:uniqueId val="{00000004-BD3A-46AA-9775-8205C88004F8}"/>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563040352"/>
        <c:axId val="1563030272"/>
      </c:stockChart>
      <c:dateAx>
        <c:axId val="1563016832"/>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00512"/>
        <c:crosses val="autoZero"/>
        <c:auto val="1"/>
        <c:lblOffset val="100"/>
        <c:baseTimeUnit val="days"/>
      </c:dateAx>
      <c:valAx>
        <c:axId val="1563000512"/>
        <c:scaling>
          <c:orientation val="minMax"/>
        </c:scaling>
        <c:delete val="0"/>
        <c:axPos val="l"/>
        <c:majorGridlines>
          <c:spPr>
            <a:ln w="9525" cap="flat" cmpd="sng" algn="ctr">
              <a:solidFill>
                <a:schemeClr val="tx1">
                  <a:lumMod val="15000"/>
                  <a:lumOff val="85000"/>
                </a:schemeClr>
              </a:solidFill>
              <a:round/>
            </a:ln>
            <a:effectLst/>
          </c:spPr>
        </c:majorGridlines>
        <c:numFmt formatCode="\ #,###,##0.00,,&quot; Lacs&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16832"/>
        <c:crosses val="autoZero"/>
        <c:crossBetween val="between"/>
      </c:valAx>
      <c:valAx>
        <c:axId val="1563030272"/>
        <c:scaling>
          <c:orientation val="minMax"/>
        </c:scaling>
        <c:delete val="0"/>
        <c:axPos val="r"/>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40352"/>
        <c:crosses val="max"/>
        <c:crossBetween val="between"/>
      </c:valAx>
      <c:dateAx>
        <c:axId val="1563040352"/>
        <c:scaling>
          <c:orientation val="minMax"/>
        </c:scaling>
        <c:delete val="1"/>
        <c:axPos val="b"/>
        <c:numFmt formatCode="m/d/yyyy" sourceLinked="1"/>
        <c:majorTickMark val="out"/>
        <c:minorTickMark val="none"/>
        <c:tickLblPos val="nextTo"/>
        <c:crossAx val="1563030272"/>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459681</xdr:colOff>
      <xdr:row>27</xdr:row>
      <xdr:rowOff>122655</xdr:rowOff>
    </xdr:from>
    <xdr:to>
      <xdr:col>3</xdr:col>
      <xdr:colOff>15332</xdr:colOff>
      <xdr:row>43</xdr:row>
      <xdr:rowOff>99658</xdr:rowOff>
    </xdr:to>
    <xdr:graphicFrame macro="">
      <xdr:nvGraphicFramePr>
        <xdr:cNvPr id="3" name="Chart 2">
          <a:extLst>
            <a:ext uri="{FF2B5EF4-FFF2-40B4-BE49-F238E27FC236}">
              <a16:creationId xmlns:a16="http://schemas.microsoft.com/office/drawing/2014/main" id="{8BC08CF3-0996-1F4A-655E-D65472709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52675</xdr:colOff>
      <xdr:row>17</xdr:row>
      <xdr:rowOff>24106</xdr:rowOff>
    </xdr:from>
    <xdr:to>
      <xdr:col>6</xdr:col>
      <xdr:colOff>927203</xdr:colOff>
      <xdr:row>30</xdr:row>
      <xdr:rowOff>36231</xdr:rowOff>
    </xdr:to>
    <xdr:graphicFrame macro="">
      <xdr:nvGraphicFramePr>
        <xdr:cNvPr id="7" name="Chart 6">
          <a:extLst>
            <a:ext uri="{FF2B5EF4-FFF2-40B4-BE49-F238E27FC236}">
              <a16:creationId xmlns:a16="http://schemas.microsoft.com/office/drawing/2014/main" id="{0B4DFFC5-8F65-439C-B42D-1C08A2F70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51346</xdr:colOff>
      <xdr:row>30</xdr:row>
      <xdr:rowOff>65679</xdr:rowOff>
    </xdr:from>
    <xdr:to>
      <xdr:col>6</xdr:col>
      <xdr:colOff>930234</xdr:colOff>
      <xdr:row>43</xdr:row>
      <xdr:rowOff>89063</xdr:rowOff>
    </xdr:to>
    <xdr:graphicFrame macro="">
      <xdr:nvGraphicFramePr>
        <xdr:cNvPr id="8" name="Chart 7">
          <a:extLst>
            <a:ext uri="{FF2B5EF4-FFF2-40B4-BE49-F238E27FC236}">
              <a16:creationId xmlns:a16="http://schemas.microsoft.com/office/drawing/2014/main" id="{F1B94C41-706A-4C13-B802-CFE1A524F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967375</xdr:colOff>
      <xdr:row>30</xdr:row>
      <xdr:rowOff>71843</xdr:rowOff>
    </xdr:from>
    <xdr:to>
      <xdr:col>10</xdr:col>
      <xdr:colOff>9897</xdr:colOff>
      <xdr:row>43</xdr:row>
      <xdr:rowOff>89064</xdr:rowOff>
    </xdr:to>
    <xdr:graphicFrame macro="">
      <xdr:nvGraphicFramePr>
        <xdr:cNvPr id="9" name="Chart 8">
          <a:extLst>
            <a:ext uri="{FF2B5EF4-FFF2-40B4-BE49-F238E27FC236}">
              <a16:creationId xmlns:a16="http://schemas.microsoft.com/office/drawing/2014/main" id="{289AC96B-DF75-4D8D-AB7F-4530EEDCF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959871</xdr:colOff>
      <xdr:row>17</xdr:row>
      <xdr:rowOff>18515</xdr:rowOff>
    </xdr:from>
    <xdr:to>
      <xdr:col>10</xdr:col>
      <xdr:colOff>9897</xdr:colOff>
      <xdr:row>30</xdr:row>
      <xdr:rowOff>39585</xdr:rowOff>
    </xdr:to>
    <xdr:graphicFrame macro="">
      <xdr:nvGraphicFramePr>
        <xdr:cNvPr id="10" name="Chart 9">
          <a:extLst>
            <a:ext uri="{FF2B5EF4-FFF2-40B4-BE49-F238E27FC236}">
              <a16:creationId xmlns:a16="http://schemas.microsoft.com/office/drawing/2014/main" id="{04A75072-2C8C-4472-8E38-616B6DDEA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Vishakha" refreshedDate="46075.584448263886" createdVersion="8" refreshedVersion="8" minRefreshableVersion="3" recordCount="3" xr:uid="{187C5815-0DB0-4C46-8488-56B333BD51CE}">
  <cacheSource type="worksheet">
    <worksheetSource name="Table2"/>
  </cacheSource>
  <cacheFields count="8">
    <cacheField name="Stock" numFmtId="0">
      <sharedItems containsBlank="1" count="5">
        <s v="LARSEN AND TOUBRO LIMITED (XNSE:LT)"/>
        <s v="DIXON TECHNOLOGIES (INDIA) LIMITED (XNSE:DIXON)"/>
        <s v="ITC LIMITED (XBOM:500875)"/>
        <s v="ITC" u="1"/>
        <m u="1"/>
      </sharedItems>
    </cacheField>
    <cacheField name="Exchange" numFmtId="0">
      <sharedItems count="2">
        <s v="XNSE"/>
        <s v="XBOM"/>
      </sharedItems>
    </cacheField>
    <cacheField name="Ticker symbol" numFmtId="0">
      <sharedItems count="3">
        <s v="LT"/>
        <s v="DIXON"/>
        <s v="500875"/>
      </sharedItems>
    </cacheField>
    <cacheField name="52 week high" numFmtId="164">
      <sharedItems containsSemiMixedTypes="0" containsString="0" containsNumber="1" minValue="444.15" maxValue="18471"/>
    </cacheField>
    <cacheField name="52 week low" numFmtId="164">
      <sharedItems containsSemiMixedTypes="0" containsString="0" containsNumber="1" minValue="302" maxValue="9835"/>
    </cacheField>
    <cacheField name="Price" numFmtId="164">
      <sharedItems containsSemiMixedTypes="0" containsString="0" containsNumber="1" minValue="327" maxValue="11072"/>
    </cacheField>
    <cacheField name="P/E" numFmtId="164">
      <sharedItems containsSemiMixedTypes="0" containsString="0" containsNumber="1" minValue="20.02" maxValue="40.47"/>
    </cacheField>
    <cacheField name="Change" numFmtId="164">
      <sharedItems containsSemiMixedTypes="0" containsString="0" containsNumber="1" minValue="-165" maxValue="100.1"/>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187C5815-0DB0-4C46-8488-56B333BD51CE}" pivotIgnoreInvalidCache="1" r:id="rId1"/>
    </ext>
    <ext xmlns:xlpar="http://schemas.microsoft.com/office/spreadsheetml/2024/pivotAutoRefresh" uri="{DA1E1B2C-A1EE-400B-A0BD-712935E3C959}">
      <xlpar:autoRefresh>1</xlpar:autoRefresh>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n v="4390"/>
    <n v="2965.3"/>
    <n v="4380.6000000000004"/>
    <n v="36.22"/>
    <n v="100.1"/>
  </r>
  <r>
    <x v="1"/>
    <x v="0"/>
    <x v="1"/>
    <n v="18471"/>
    <n v="9835"/>
    <n v="11072"/>
    <n v="40.47"/>
    <n v="-165"/>
  </r>
  <r>
    <x v="2"/>
    <x v="1"/>
    <x v="2"/>
    <n v="444.15"/>
    <n v="302"/>
    <n v="327"/>
    <n v="20.02"/>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9B348E-8A8A-4C0C-A804-30E578B46400}" name="PivotTable1" cacheId="24"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K4:L7" firstHeaderRow="1" firstDataRow="1" firstDataCol="2" rowPageCount="1" colPageCount="1"/>
  <pivotFields count="8">
    <pivotField axis="axisPage" compact="0" outline="0" showAll="0" defaultSubtotal="0">
      <items count="5">
        <item x="1"/>
        <item x="0"/>
        <item m="1" x="3"/>
        <item x="2"/>
        <item m="1" x="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s>
  <rowFields count="2">
    <field x="1"/>
    <field x="2"/>
  </rowFields>
  <rowItems count="3">
    <i>
      <x/>
      <x/>
    </i>
    <i r="1">
      <x v="1"/>
    </i>
    <i>
      <x v="1"/>
      <x v="2"/>
    </i>
  </rowItems>
  <colItems count="1">
    <i/>
  </colItem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9B348E-8A8A-4C0C-A804-30E578B46400}" name="PivotTable5" cacheId="24"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8">
    <pivotField axis="axisPage" compact="0" outline="0" showAll="0" defaultSubtotal="0">
      <items count="5">
        <item x="1"/>
        <item x="0"/>
        <item m="1" x="3"/>
        <item x="2"/>
        <item m="1" x="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s>
  <rowFields count="2">
    <field x="1"/>
    <field x="2"/>
  </rowFields>
  <rowItems count="1">
    <i>
      <x/>
      <x/>
    </i>
  </rowItems>
  <colItems count="1">
    <i/>
  </colItems>
  <pageFields count="1">
    <pageField fld="0"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9B348E-8A8A-4C0C-A804-30E578B46400}" name="PivotTable4" cacheId="24"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1">
  <location ref="A3:B4" firstHeaderRow="1" firstDataRow="1" firstDataCol="2" rowPageCount="1" colPageCount="1"/>
  <pivotFields count="8">
    <pivotField axis="axisPage" compact="0" outline="0" showAll="0" defaultSubtotal="0">
      <items count="5">
        <item x="1"/>
        <item x="0"/>
        <item m="1" x="3"/>
        <item x="2"/>
        <item m="1" x="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s>
  <rowFields count="2">
    <field x="1"/>
    <field x="2"/>
  </rowFields>
  <rowItems count="1">
    <i>
      <x/>
      <x v="1"/>
    </i>
  </rowItems>
  <colItems count="1">
    <i/>
  </colItems>
  <pageFields count="1">
    <pageField fld="0" item="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25">
  <a r="1" c="246">
    <v t="i">2</v>
    <v t="i">3</v>
    <v t="i">5</v>
    <v t="i">6</v>
    <v t="i">9</v>
    <v t="i">10</v>
    <v t="i">11</v>
    <v t="i">12</v>
    <v t="i">13</v>
    <v t="i">16</v>
    <v t="i">17</v>
    <v t="i">18</v>
    <v t="i">19</v>
    <v t="i">23</v>
    <v t="i">24</v>
    <v t="i">25</v>
    <v t="i">26</v>
    <v t="i">27</v>
    <v t="i">30</v>
    <v t="i">31</v>
    <v t="i">32</v>
    <v t="i">33</v>
    <v t="i">34</v>
    <v t="i">38</v>
    <v t="i">39</v>
    <v t="i">40</v>
    <v t="i">41</v>
    <v t="i">44</v>
    <v t="i">45</v>
    <v t="i">46</v>
    <v t="i">48</v>
    <v t="i">52</v>
    <v t="i">53</v>
    <v t="i">54</v>
    <v t="i">58</v>
    <v t="i">59</v>
    <v t="i">60</v>
    <v t="i">61</v>
    <v t="i">62</v>
    <v t="i">65</v>
    <v t="i">66</v>
    <v t="i">67</v>
    <v t="i">69</v>
    <v t="i">72</v>
    <v t="i">73</v>
    <v t="i">74</v>
    <v t="i">75</v>
    <v t="i">76</v>
    <v t="i">79</v>
    <v t="i">80</v>
    <v t="i">81</v>
    <v t="i">82</v>
    <v t="i">83</v>
    <v t="i">86</v>
    <v t="i">87</v>
    <v t="i">88</v>
    <v t="i">89</v>
    <v t="i">90</v>
    <v t="i">93</v>
    <v t="i">94</v>
    <v t="i">95</v>
    <v t="i">96</v>
    <v t="i">97</v>
    <v t="i">100</v>
    <v t="i">101</v>
    <v t="i">102</v>
    <v t="i">103</v>
    <v t="i">104</v>
    <v t="i">107</v>
    <v t="i">108</v>
    <v t="i">109</v>
    <v t="i">110</v>
    <v t="i">111</v>
    <v t="i">114</v>
    <v t="i">115</v>
    <v t="i">116</v>
    <v t="i">117</v>
    <v t="i">118</v>
    <v t="i">121</v>
    <v t="i">122</v>
    <v t="i">123</v>
    <v t="i">124</v>
    <v t="i">125</v>
    <v t="i">128</v>
    <v t="i">129</v>
    <v t="i">130</v>
    <v t="i">131</v>
    <v t="i">132</v>
    <v t="i">135</v>
    <v t="i">136</v>
    <v t="i">137</v>
    <v t="i">138</v>
    <v t="i">139</v>
    <v t="i">142</v>
    <v t="i">143</v>
    <v t="i">144</v>
    <v t="i">145</v>
    <v t="i">146</v>
    <v t="i">149</v>
    <v t="i">150</v>
    <v t="i">151</v>
    <v t="i">152</v>
    <v t="i">153</v>
    <v t="i">156</v>
    <v t="i">157</v>
    <v t="i">158</v>
    <v t="i">159</v>
    <v t="i">160</v>
    <v t="i">163</v>
    <v t="i">164</v>
    <v t="i">165</v>
    <v t="i">166</v>
    <v t="i">167</v>
    <v t="i">170</v>
    <v t="i">171</v>
    <v t="i">172</v>
    <v t="i">173</v>
    <v t="i">177</v>
    <v t="i">178</v>
    <v t="i">179</v>
    <v t="i">180</v>
    <v t="i">181</v>
    <v t="i">184</v>
    <v t="i">185</v>
    <v t="i">187</v>
    <v t="i">188</v>
    <v t="i">191</v>
    <v t="i">192</v>
    <v t="i">193</v>
    <v t="i">194</v>
    <v t="i">195</v>
    <v t="i">198</v>
    <v t="i">199</v>
    <v t="i">200</v>
    <v t="i">201</v>
    <v t="i">202</v>
    <v t="i">205</v>
    <v t="i">206</v>
    <v t="i">207</v>
    <v t="i">208</v>
    <v t="i">209</v>
    <v t="i">212</v>
    <v t="i">213</v>
    <v t="i">214</v>
    <v t="i">215</v>
    <v t="i">216</v>
    <v t="i">219</v>
    <v t="i">220</v>
    <v t="i">221</v>
    <v t="i">223</v>
    <v t="i">226</v>
    <v t="i">227</v>
    <v t="i">228</v>
    <v t="i">229</v>
    <v t="i">230</v>
    <v t="i">233</v>
    <v t="i">234</v>
    <v t="i">235</v>
    <v t="i">236</v>
    <v t="i">237</v>
    <v t="i">240</v>
    <v t="i">241</v>
    <v t="i">243</v>
    <v t="i">244</v>
    <v t="i">247</v>
    <v t="i">248</v>
    <v t="i">249</v>
    <v t="i">250</v>
    <v t="i">251</v>
    <v t="i">254</v>
    <v t="i">255</v>
    <v t="i">257</v>
    <v t="i">258</v>
    <v t="i">261</v>
    <v t="i">262</v>
    <v t="i">263</v>
    <v t="i">264</v>
    <v t="i">265</v>
    <v t="i">268</v>
    <v t="i">269</v>
    <v t="i">270</v>
    <v t="i">271</v>
    <v t="i">272</v>
    <v t="i">275</v>
    <v t="i">276</v>
    <v t="i">277</v>
    <v t="i">278</v>
    <v t="i">279</v>
    <v t="i">282</v>
    <v t="i">283</v>
    <v t="i">284</v>
    <v t="i">285</v>
    <v t="i">286</v>
    <v t="i">289</v>
    <v t="i">290</v>
    <v t="i">291</v>
    <v t="i">292</v>
    <v t="i">293</v>
    <v t="i">296</v>
    <v t="i">297</v>
    <v t="i">298</v>
    <v t="i">299</v>
    <v t="i">300</v>
    <v t="i">303</v>
    <v t="i">304</v>
    <v t="i">305</v>
    <v t="i">307</v>
    <v t="i">310</v>
    <v t="i">311</v>
    <v t="i">312</v>
    <v t="i">313</v>
    <v t="i">314</v>
    <v t="i">317</v>
    <v t="i">318</v>
    <v t="i">319</v>
    <v t="i">320</v>
    <v t="i">321</v>
    <v t="i">324</v>
    <v t="i">325</v>
    <v t="i">326</v>
    <v t="i">328</v>
    <v t="i">331</v>
    <v t="i">332</v>
    <v t="i">333</v>
    <v t="i">334</v>
    <v t="i">335</v>
    <v t="i">339</v>
    <v t="i">340</v>
    <v t="i">341</v>
    <v t="i">342</v>
    <v t="i">344</v>
    <v t="i">345</v>
    <v t="i">346</v>
    <v t="i">347</v>
    <v t="i">348</v>
    <v t="i">349</v>
    <v t="i">352</v>
    <v t="i">353</v>
    <v t="i">354</v>
    <v t="i">355</v>
    <v t="i">356</v>
    <v t="i">359</v>
    <v t="i">360</v>
    <v t="i">361</v>
    <v t="i">362</v>
    <v t="i">363</v>
  </a>
  <a r="1" c="246">
    <v>320.85000000000002</v>
    <v>321.2</v>
    <v>311.85000000000002</v>
    <v>302.45</v>
    <v>305.05</v>
    <v>314.8</v>
    <v>324.85000000000002</v>
    <v>333</v>
    <v>333.7</v>
    <v>328.15</v>
    <v>328.9</v>
    <v>325.10000000000002</v>
    <v>323.05</v>
    <v>333.25</v>
    <v>336.35</v>
    <v>341.9</v>
    <v>341.1</v>
    <v>344.1</v>
    <v>349.3</v>
    <v>348.15</v>
    <v>348.3</v>
    <v>345.55</v>
    <v>341.7</v>
    <v>339.1</v>
    <v>342.05</v>
    <v>345.75</v>
    <v>327.8</v>
    <v>307.5</v>
    <v>322.3</v>
    <v>306.3</v>
    <v>316.55</v>
    <v>328.85</v>
    <v>329.15</v>
    <v>331.3</v>
    <v>331.9</v>
    <v>333.8</v>
    <v>335.7</v>
    <v>326.75</v>
    <v>311.85000000000002</v>
    <v>320.85000000000002</v>
    <v>318.85000000000002</v>
    <v>321.8</v>
    <v>318.89999999999998</v>
    <v>335.9</v>
    <v>341.45</v>
    <v>346.5</v>
    <v>334.6</v>
    <v>329.9</v>
    <v>328.15</v>
    <v>329.85</v>
    <v>338.2</v>
    <v>338.6</v>
    <v>339.4</v>
    <v>341.6</v>
    <v>332.5</v>
    <v>340.65</v>
    <v>333.1</v>
    <v>330.75</v>
    <v>332.35</v>
    <v>335.05</v>
    <v>334.35</v>
    <v>335.6</v>
    <v>335.85</v>
    <v>334</v>
    <v>337.2</v>
    <v>336.4</v>
    <v>330.6</v>
    <v>330.05</v>
    <v>338.15</v>
    <v>341.2</v>
    <v>354.45</v>
    <v>352.25</v>
    <v>355.4</v>
    <v>357.25</v>
    <v>352.65</v>
    <v>342</v>
    <v>348.6</v>
    <v>351.35</v>
    <v>352.2</v>
    <v>349.2</v>
    <v>351.4</v>
    <v>350.5</v>
    <v>354.4</v>
    <v>355.7</v>
    <v>362.5</v>
    <v>368.55</v>
    <v>374.45</v>
    <v>380.05</v>
    <v>372.1</v>
    <v>369.35</v>
    <v>373.55</v>
    <v>372.4</v>
    <v>374.2</v>
    <v>379.1</v>
    <v>390.45</v>
    <v>394.65</v>
    <v>397</v>
    <v>398.75</v>
    <v>394.65</v>
    <v>387.2</v>
    <v>396.95</v>
    <v>397.6</v>
    <v>394.15</v>
    <v>387.45</v>
    <v>398.15</v>
    <v>397.3</v>
    <v>391.4</v>
    <v>383.1</v>
    <v>382.4</v>
    <v>372.35</v>
    <v>360.4</v>
    <v>364.2</v>
    <v>343.35</v>
    <v>342.1</v>
    <v>354.9</v>
    <v>360.25</v>
    <v>359.25</v>
    <v>364.3</v>
    <v>363.85</v>
    <v>359.45</v>
    <v>357.75</v>
    <v>359.5</v>
    <v>359.95</v>
    <v>358.3</v>
    <v>353.25</v>
    <v>348.35</v>
    <v>352.55</v>
    <v>356.1</v>
    <v>361.55</v>
    <v>356.85</v>
    <v>363.7</v>
    <v>364.15</v>
    <v>364.5</v>
    <v>364.2</v>
    <v>364.05</v>
    <v>365.2</v>
    <v>358.25</v>
    <v>360.2</v>
    <v>354.35</v>
    <v>368.4</v>
    <v>369.2</v>
    <v>362.15</v>
    <v>359.5</v>
    <v>358.95</v>
    <v>355.95</v>
    <v>338.9</v>
    <v>340.15</v>
    <v>341</v>
    <v>346.45</v>
    <v>352.25</v>
    <v>347.75</v>
    <v>347.8</v>
    <v>349</v>
    <v>352.5</v>
    <v>353.45</v>
    <v>349.4</v>
    <v>351.85</v>
    <v>356.4</v>
    <v>358.2</v>
    <v>356.15</v>
    <v>364.3</v>
    <v>366.1</v>
    <v>362.3</v>
    <v>359.5</v>
    <v>360.45</v>
    <v>365.75</v>
    <v>373.7</v>
    <v>376.6</v>
    <v>372.1</v>
    <v>377.15</v>
    <v>380.5</v>
    <v>385.2</v>
    <v>380.4</v>
    <v>382.15</v>
    <v>385.1</v>
    <v>405.9</v>
    <v>417</v>
    <v>411.15</v>
    <v>420.95</v>
    <v>421.6</v>
    <v>410.1</v>
    <v>395.15</v>
    <v>396.85</v>
    <v>395.25</v>
    <v>393.25</v>
    <v>398.45</v>
    <v>399.65</v>
    <v>398.35</v>
    <v>394.5</v>
    <v>399</v>
    <v>410</v>
    <v>388.35</v>
    <v>392.65</v>
    <v>383.8</v>
    <v>383.65</v>
    <v>379.15</v>
    <v>381.75</v>
    <v>386.35</v>
    <v>390.65</v>
    <v>384.9</v>
    <v>386.1</v>
    <v>392.25</v>
    <v>398.55</v>
    <v>399.3</v>
    <v>401.55</v>
    <v>398.35</v>
    <v>395.45</v>
    <v>390.4</v>
    <v>390.4</v>
    <v>393.9</v>
    <v>387.75</v>
    <v>392.95</v>
    <v>391.35</v>
    <v>385.15</v>
    <v>387.05</v>
    <v>377.95</v>
    <v>379.6</v>
    <v>371.8</v>
    <v>377.3</v>
    <v>379</v>
    <v>377.65</v>
    <v>376.05</v>
    <v>366.85</v>
    <v>364.85</v>
    <v>373</v>
    <v>366.2</v>
    <v>365.25</v>
    <v>370.5</v>
    <v>365.3</v>
    <v>366.8</v>
    <v>368.2</v>
    <v>370.15</v>
    <v>372.3</v>
    <v>368.55</v>
    <v>367.8</v>
    <v>365.4</v>
    <v>373.95</v>
    <v>371.05</v>
    <v>375.2</v>
    <v>375.05</v>
    <v>377.95</v>
    <v>380.35</v>
    <v>379.35</v>
    <v>378.95</v>
    <v>382.65</v>
    <v>383.95</v>
  </a>
  <a r="1" c="246">
    <v>836.47040000000004</v>
    <v>839.08889999999997</v>
    <v>848.24109999999996</v>
    <v>864.05179999999996</v>
    <v>848.66510000000005</v>
    <v>852.87959999999998</v>
    <v>842.90440000000001</v>
    <v>843.50289999999995</v>
    <v>842.53030000000001</v>
    <v>841.65750000000003</v>
    <v>840.66</v>
    <v>853.45320000000004</v>
    <v>851.18380000000002</v>
    <v>853.07910000000004</v>
    <v>863.95209999999997</v>
    <v>869.88729999999998</v>
    <v>882.18179999999995</v>
    <v>882.97979999999995</v>
    <v>897.76800000000003</v>
    <v>908.46640000000002</v>
    <v>901.03489999999999</v>
    <v>910.41160000000002</v>
    <v>911.83299999999997</v>
    <v>881.73289999999997</v>
    <v>896.22180000000003</v>
    <v>895.19939999999997</v>
    <v>906.39649999999995</v>
    <v>876.67049999999995</v>
    <v>882.38130000000001</v>
    <v>880.31140000000005</v>
    <v>901.13459999999998</v>
    <v>930.13750000000005</v>
    <v>936.67129999999997</v>
    <v>950.98569999999995</v>
    <v>961.16039999999998</v>
    <v>978.41750000000002</v>
    <v>959.56439999999998</v>
    <v>956.02319999999997</v>
    <v>953.23009999999999</v>
    <v>957.71900000000005</v>
    <v>952.03309999999999</v>
    <v>960.11300000000006</v>
    <v>960.11300000000006</v>
    <v>965.99839999999995</v>
    <v>963.4547</v>
    <v>970.38750000000005</v>
    <v>961.8587</v>
    <v>942.5068</v>
    <v>976.17309999999998</v>
    <v>958.91600000000005</v>
    <v>952.93089999999995</v>
    <v>964.50210000000004</v>
    <v>964.95100000000002</v>
    <v>966.94600000000003</v>
    <v>955.07550000000003</v>
    <v>961.01080000000002</v>
    <v>957.5693</v>
    <v>964.40229999999997</v>
    <v>967.69420000000002</v>
    <v>960.76139999999998</v>
    <v>959.36490000000003</v>
    <v>961.35990000000004</v>
    <v>970.03830000000005</v>
    <v>963.65419999999995</v>
    <v>959.9135</v>
    <v>968.19290000000001</v>
    <v>972.38250000000005</v>
    <v>986.89639999999997</v>
    <v>986.99620000000004</v>
    <v>980.21299999999997</v>
    <v>972.78150000000005</v>
    <v>969.29020000000003</v>
    <v>956.42219999999998</v>
    <v>965.30010000000004</v>
    <v>962.40729999999996</v>
    <v>964.55200000000002</v>
    <v>965.25019999999995</v>
    <v>979.91380000000004</v>
    <v>971.78399999999999</v>
    <v>978.01850000000002</v>
    <v>987.64459999999997</v>
    <v>1008.393</v>
    <v>1004.9515</v>
    <v>998.2681</v>
    <v>1003.5549999999999</v>
    <v>990.53740000000005</v>
    <v>991.08600000000001</v>
    <v>992.18330000000003</v>
    <v>991.23559999999998</v>
    <v>998.2183</v>
    <v>1003.1061</v>
    <v>1000.6123</v>
    <v>989.39020000000005</v>
    <v>989.04110000000003</v>
    <v>995.27560000000005</v>
    <v>995.67460000000005</v>
    <v>990.98620000000005</v>
    <v>976.27279999999996</v>
    <v>997.76940000000002</v>
    <v>1001.0612</v>
    <v>1009.6399</v>
    <v>1004.6024</v>
    <v>1002.3</v>
    <v>1004.25</v>
    <v>1010.8</v>
    <v>1012.9</v>
    <v>1009.1</v>
    <v>1006.1</v>
    <v>996</v>
    <v>988.8</v>
    <v>992.65</v>
    <v>997.7</v>
    <v>986.95</v>
    <v>997.8</v>
    <v>984.95</v>
    <v>990.15</v>
    <v>995.55</v>
    <v>1001.8</v>
    <v>995.55</v>
    <v>994.1</v>
    <v>995.6</v>
    <v>982.3</v>
    <v>982.05</v>
    <v>973.4</v>
    <v>957.8</v>
    <v>951.6</v>
    <v>950.6</v>
    <v>944.5</v>
    <v>954.45</v>
    <v>961.25</v>
    <v>963.4</v>
    <v>966</v>
    <v>965.15</v>
    <v>965.9</v>
    <v>967.8</v>
    <v>967.3</v>
    <v>967.05</v>
    <v>966.85</v>
    <v>966.5</v>
    <v>976.9</v>
    <v>966.9</v>
    <v>964.2</v>
    <v>957.2</v>
    <v>951.05</v>
    <v>949.85</v>
    <v>945.05</v>
    <v>950.3</v>
    <v>951</v>
    <v>965.25</v>
    <v>965.15</v>
    <v>973.45</v>
    <v>982.5</v>
    <v>978.7</v>
    <v>977.1</v>
    <v>980.9</v>
    <v>977</v>
    <v>977.15</v>
    <v>978.25</v>
    <v>994.35</v>
    <v>1002.55</v>
    <v>1002.95</v>
    <v>1007.7</v>
    <v>1008.8</v>
    <v>994.75</v>
    <v>1002.95</v>
    <v>1003.55</v>
    <v>1007.85</v>
    <v>998.15</v>
    <v>987.3</v>
    <v>992.65</v>
    <v>985.25</v>
    <v>984.65</v>
    <v>982.3</v>
    <v>984.5</v>
    <v>991.7</v>
    <v>989.5</v>
    <v>986.65</v>
    <v>989.6</v>
    <v>996.55</v>
    <v>992.45</v>
    <v>994.6</v>
    <v>1008.85</v>
    <v>998.05</v>
    <v>999.15</v>
    <v>989.8</v>
    <v>1003.9</v>
    <v>1009.5</v>
    <v>1007.6</v>
    <v>1002.1</v>
    <v>989.8</v>
    <v>1000.5</v>
    <v>997.2</v>
    <v>1003.3</v>
    <v>1003.1</v>
    <v>997.1</v>
    <v>989.8</v>
    <v>1000.3</v>
    <v>1001.5</v>
    <v>996.1</v>
    <v>994.3</v>
    <v>984</v>
    <v>979.7</v>
    <v>985.5</v>
    <v>987.7</v>
    <v>996.6</v>
    <v>997.2</v>
    <v>992.1</v>
    <v>991.7</v>
    <v>990.9</v>
    <v>991.2</v>
    <v>991.15</v>
    <v>1001.6</v>
    <v>977.5</v>
    <v>962.2</v>
    <v>949.05</v>
    <v>946.7</v>
    <v>939</v>
    <v>936.95</v>
    <v>937.35</v>
    <v>925.45</v>
    <v>931.1</v>
    <v>927.9</v>
    <v>931.2</v>
    <v>920.35</v>
    <v>918.7</v>
    <v>916.1</v>
    <v>926.4</v>
    <v>932.7</v>
    <v>935.5</v>
    <v>929.25</v>
    <v>922.1</v>
    <v>928.1</v>
    <v>948.7</v>
    <v>953.1</v>
    <v>949.7</v>
    <v>941.1</v>
    <v>937.25</v>
    <v>932.4</v>
    <v>927.1</v>
    <v>920.6</v>
    <v>903.9</v>
    <v>925.8</v>
    <v>925.7</v>
    <v>924.7</v>
    <v>915.6</v>
    <v>911.85</v>
  </a>
  <a r="1" c="246">
    <v>2204.8471</v>
    <v>2222.4056</v>
    <v>2208.29</v>
    <v>2154.4832000000001</v>
    <v>2141.3020000000001</v>
    <v>2122.1205</v>
    <v>2135.0066000000002</v>
    <v>2182.7145</v>
    <v>2168.5497</v>
    <v>2211.0441999999998</v>
    <v>2180.7471999999998</v>
    <v>2157.0898999999999</v>
    <v>2139.2855</v>
    <v>2135.7935000000002</v>
    <v>2165.4511000000002</v>
    <v>2164.1232</v>
    <v>2205.7815999999998</v>
    <v>2209.5196000000001</v>
    <v>2219.3562999999999</v>
    <v>2234.2096999999999</v>
    <v>2209.2736</v>
    <v>2207.9949000000001</v>
    <v>2221.9630000000002</v>
    <v>2197.3712</v>
    <v>2201.3551000000002</v>
    <v>2207.8964999999998</v>
    <v>2207.8964999999998</v>
    <v>2212.6673000000001</v>
    <v>2251.8665000000001</v>
    <v>2311.6244999999999</v>
    <v>2327.5108</v>
    <v>2322.9367000000002</v>
    <v>2327.9533999999999</v>
    <v>2336.2163</v>
    <v>2312.6082000000001</v>
    <v>2359.5291999999999</v>
    <v>2384.2193000000002</v>
    <v>2287.3279000000002</v>
    <v>2294.1152000000002</v>
    <v>2280.7372999999998</v>
    <v>2283.7865999999999</v>
    <v>2303.8535000000002</v>
    <v>2285.9506999999999</v>
    <v>2310.2474000000002</v>
    <v>2342.9052000000001</v>
    <v>2332.0848000000001</v>
    <v>2316.4445000000001</v>
    <v>2294.8036999999999</v>
    <v>2343.5938000000001</v>
    <v>2321.4612000000002</v>
    <v>2312.1163000000001</v>
    <v>2316.7395999999999</v>
    <v>2342.5117</v>
    <v>2343.7905000000001</v>
    <v>2302.8697999999999</v>
    <v>2325.2975000000001</v>
    <v>2292.6397000000002</v>
    <v>2320.6743000000001</v>
    <v>2355.0043000000001</v>
    <v>2341.3312999999998</v>
    <v>2323.4285</v>
    <v>2328.0518000000002</v>
    <v>2309.9522999999999</v>
    <v>2332.8717999999999</v>
    <v>2313.8869</v>
    <v>2325.8877000000002</v>
    <v>2337.5934000000002</v>
    <v>2350.7746000000002</v>
    <v>2354.1190000000001</v>
    <v>2356.0864000000001</v>
    <v>2337.5934000000002</v>
    <v>2294.607</v>
    <v>2281.1307000000002</v>
    <v>2289.3935999999999</v>
    <v>2290.5740000000001</v>
    <v>2259.7851000000001</v>
    <v>2256.7357000000002</v>
    <v>2268.5398</v>
    <v>2237.9476</v>
    <v>2226.1435999999999</v>
    <v>2241.4888000000001</v>
    <v>2243.5545000000002</v>
    <v>2269.2283000000002</v>
    <v>2257.1291999999999</v>
    <v>2258.0145000000002</v>
    <v>2269.4250999999999</v>
    <v>2275.6221999999998</v>
    <v>2301.0992000000001</v>
    <v>2371.0382</v>
    <v>2353.6271999999999</v>
    <v>2383.8258999999998</v>
    <v>2369.0708</v>
    <v>2478.4549000000002</v>
    <v>2475.5039000000002</v>
    <v>2485.6356999999998</v>
    <v>2476.4875999999999</v>
    <v>2468.8150000000001</v>
    <v>2448.9448000000002</v>
    <v>2424.6482000000001</v>
    <v>2439.2064999999998</v>
    <v>2410.3850000000002</v>
    <v>2397.9906999999998</v>
    <v>2375.9564999999998</v>
    <v>2401.7287000000001</v>
    <v>2413.5327000000002</v>
    <v>2397.5972999999999</v>
    <v>2480.0288</v>
    <v>2511.9980999999998</v>
    <v>2502.1614</v>
    <v>2493.3083000000001</v>
    <v>2494.1936999999998</v>
    <v>2476.3892000000001</v>
    <v>2457.7979</v>
    <v>2477.2745</v>
    <v>2443.2395000000001</v>
    <v>2454.355</v>
    <v>2440.0918000000001</v>
    <v>2526.1628999999998</v>
    <v>2562.2636000000002</v>
    <v>2626.2022000000002</v>
    <v>2604.7582000000002</v>
    <v>2586.9537</v>
    <v>2588.6260000000002</v>
    <v>2648.6298000000002</v>
    <v>2611.0536000000002</v>
    <v>2616.3654999999999</v>
    <v>2606.2337000000002</v>
    <v>2633.2846</v>
    <v>2621.1853999999998</v>
    <v>2623.0544</v>
    <v>2590.3966</v>
    <v>2581.0517</v>
    <v>2598.8561</v>
    <v>2600.3316</v>
    <v>2579.1826999999998</v>
    <v>2538.3604</v>
    <v>2538.8523</v>
    <v>2538.7539000000002</v>
    <v>2527.7368000000001</v>
    <v>2544.5576000000001</v>
    <v>2517.8017</v>
    <v>2530.1959999999999</v>
    <v>2481.0124999999998</v>
    <v>2507.8667</v>
    <v>2496.8496</v>
    <v>2470.7822999999999</v>
    <v>2457.1093000000001</v>
    <v>2473.3398000000002</v>
    <v>2494.7838999999999</v>
    <v>2503.3418000000001</v>
    <v>2500.2923999999998</v>
    <v>2476.0940999999998</v>
    <v>2459.2734</v>
    <v>2476.4875999999999</v>
    <v>2487.6030999999998</v>
    <v>2452.0925999999999</v>
    <v>2461.4373999999998</v>
    <v>2477.8647000000001</v>
    <v>2519.6707000000001</v>
    <v>2561.1815999999999</v>
    <v>2552.0333999999998</v>
    <v>2549.3775000000001</v>
    <v>2559.1158999999998</v>
    <v>2475.3072000000002</v>
    <v>2470.7822999999999</v>
    <v>2456.3224</v>
    <v>2447.4693000000002</v>
    <v>2429.2714000000001</v>
    <v>2425.2384000000002</v>
    <v>2419.8281999999999</v>
    <v>2405.7617</v>
    <v>2396.2201</v>
    <v>2374.5794000000001</v>
    <v>2369.4643000000001</v>
    <v>2387.8589000000002</v>
    <v>2384.9079000000002</v>
    <v>2368.2838999999999</v>
    <v>2388.0556999999999</v>
    <v>2385.3998000000001</v>
    <v>2364.7426999999998</v>
    <v>2401.7287000000001</v>
    <v>2388.7442000000001</v>
    <v>2393.9576999999999</v>
    <v>2384.6127999999999</v>
    <v>2374.6777000000002</v>
    <v>2385.5965000000001</v>
    <v>2411.6637000000001</v>
    <v>2426.3204000000001</v>
    <v>2424.2547</v>
    <v>2437.3375000000001</v>
    <v>2408.0241999999998</v>
    <v>2421.9922999999999</v>
    <v>2338.6</v>
    <v>2314</v>
    <v>2306.5</v>
    <v>2301.6999999999998</v>
    <v>2305.6</v>
    <v>2260.6</v>
    <v>2293.5</v>
    <v>2281.1</v>
    <v>2275.6</v>
    <v>2265.5</v>
    <v>2280</v>
    <v>2289.5</v>
    <v>2302.6</v>
    <v>2282.1999999999998</v>
    <v>2285.4</v>
    <v>2293.3000000000002</v>
    <v>2290.1999999999998</v>
    <v>2315.9</v>
    <v>2323</v>
    <v>2348</v>
    <v>2384.1</v>
    <v>2424.6999999999998</v>
    <v>2399.4</v>
    <v>2386.6999999999998</v>
    <v>2372.6</v>
    <v>2406.1999999999998</v>
    <v>2389.5</v>
    <v>2353.5</v>
    <v>2360.4</v>
    <v>2413.9</v>
    <v>2379.1</v>
    <v>2368</v>
    <v>2390.6</v>
    <v>2409.5</v>
    <v>2400.9</v>
    <v>2378.4</v>
    <v>2352.6</v>
    <v>2373</v>
    <v>2350.6999999999998</v>
    <v>2357.3000000000002</v>
    <v>2368.6</v>
    <v>2371</v>
    <v>2354.4</v>
    <v>2424.1999999999998</v>
    <v>2435</v>
    <v>2453.6</v>
    <v>2462.9</v>
    <v>2409.6999999999998</v>
    <v>2305.1999999999998</v>
    <v>2319</v>
    <v>2312.3000000000002</v>
    <v>2323.5</v>
    <v>2279.3000000000002</v>
    <v>2314.5</v>
  </a>
  <a r="1" c="246">
    <v>1214.75</v>
    <v>1203.9000000000001</v>
    <v>1207.05</v>
    <v>1199.5999999999999</v>
    <v>1171.0999999999999</v>
    <v>1161.7</v>
    <v>1175.75</v>
    <v>1210.55</v>
    <v>1249.0999999999999</v>
    <v>1238.2</v>
    <v>1247.4000000000001</v>
    <v>1256.5999999999999</v>
    <v>1247.4000000000001</v>
    <v>1240.4000000000001</v>
    <v>1238.8</v>
    <v>1247.7</v>
    <v>1268.55</v>
    <v>1276.45</v>
    <v>1301.3499999999999</v>
    <v>1285.4000000000001</v>
    <v>1272.55</v>
    <v>1278.4000000000001</v>
    <v>1275</v>
    <v>1252.45</v>
    <v>1251.0999999999999</v>
    <v>1248.5999999999999</v>
    <v>1204.7</v>
    <v>1166.2</v>
    <v>1182.4000000000001</v>
    <v>1185.5999999999999</v>
    <v>1219.3</v>
    <v>1239.9000000000001</v>
    <v>1238.6500000000001</v>
    <v>1274.55</v>
    <v>1295.8499999999999</v>
    <v>1290.95</v>
    <v>1299.9000000000001</v>
    <v>1301.6500000000001</v>
    <v>1300.05</v>
    <v>1368.5</v>
    <v>1400.3</v>
    <v>1408.35</v>
    <v>1421.95</v>
    <v>1431.1</v>
    <v>1420.55</v>
    <v>1406</v>
    <v>1404.85</v>
    <v>1377.75</v>
    <v>1436.55</v>
    <v>1416.2</v>
    <v>1424.25</v>
    <v>1453.8</v>
    <v>1456.6</v>
    <v>1441.65</v>
    <v>1425.3</v>
    <v>1428.9</v>
    <v>1409.4</v>
    <v>1426.45</v>
    <v>1434.15</v>
    <v>1421.75</v>
    <v>1411.15</v>
    <v>1417.4</v>
    <v>1420.8</v>
    <v>1414.45</v>
    <v>1405.95</v>
    <v>1423.2</v>
    <v>1442.65</v>
    <v>1443.55</v>
    <v>1448.6</v>
    <v>1438.6</v>
    <v>1448.75</v>
    <v>1439.6</v>
    <v>1427.65</v>
    <v>1438.55</v>
    <v>1431.3</v>
    <v>1429.85</v>
    <v>1433.65</v>
    <v>1464.65</v>
    <v>1456.35</v>
    <v>1450.05</v>
    <v>1467.25</v>
    <v>1495.2</v>
    <v>1516.05</v>
    <v>1500.65</v>
    <v>1528.3</v>
    <v>1518.25</v>
    <v>1518.95</v>
    <v>1527.4</v>
    <v>1541.2</v>
    <v>1538.8</v>
    <v>1519.05</v>
    <v>1517.2</v>
    <v>1494.85</v>
    <v>1484.6</v>
    <v>1484.9</v>
    <v>1485.75</v>
    <v>1477.1</v>
    <v>1476.85</v>
    <v>1428.2</v>
    <v>1412.8</v>
    <v>1424.5</v>
    <v>1402.65</v>
    <v>1392.1</v>
    <v>1387.3</v>
    <v>1417.95</v>
    <v>1409.9</v>
    <v>1390.3</v>
    <v>1393.6</v>
    <v>1411.3</v>
    <v>1391.6</v>
    <v>1392.95</v>
    <v>1390.85</v>
    <v>1367.95</v>
    <v>1386.8</v>
    <v>1380.4</v>
    <v>1382.65</v>
    <v>1373.75</v>
    <v>1380.95</v>
    <v>1419.95</v>
    <v>1412.45</v>
    <v>1424.65</v>
    <v>1409.3</v>
    <v>1412.9</v>
    <v>1385.3</v>
    <v>1387.65</v>
    <v>1357.05</v>
    <v>1353.85</v>
    <v>1366.3</v>
    <v>1371.55</v>
    <v>1359.2</v>
    <v>1374.3</v>
    <v>1378.85</v>
    <v>1376.35</v>
    <v>1376.8</v>
    <v>1383.5</v>
    <v>1394.8</v>
    <v>1399.3</v>
    <v>1405.15</v>
    <v>1413.65</v>
    <v>1414.55</v>
    <v>1407.65</v>
    <v>1390.4</v>
    <v>1390.35</v>
    <v>1383.75</v>
    <v>1372.45</v>
    <v>1377.75</v>
    <v>1374</v>
    <v>1363.8</v>
    <v>1368.8</v>
    <v>1363.45</v>
    <v>1375.1</v>
    <v>1384.95</v>
    <v>1367.35</v>
    <v>1377.95</v>
    <v>1381.95</v>
    <v>1375.1</v>
    <v>1375.65</v>
    <v>1374.75</v>
    <v>1398.05</v>
    <v>1416.95</v>
    <v>1466.8</v>
    <v>1465.15</v>
    <v>1448.05</v>
    <v>1451.45</v>
    <v>1484</v>
    <v>1487.15</v>
    <v>1504.05</v>
    <v>1488.45</v>
    <v>1486.5</v>
    <v>1484.35</v>
    <v>1471.85</v>
    <v>1495.75</v>
    <v>1478.25</v>
    <v>1489.25</v>
    <v>1493.9</v>
    <v>1511.75</v>
    <v>1510.6</v>
    <v>1518.85</v>
    <v>1517.9</v>
    <v>1519.65</v>
    <v>1518.65</v>
    <v>1549.1</v>
    <v>1545.95</v>
    <v>1535.75</v>
    <v>1539.1</v>
    <v>1569.75</v>
    <v>1563.55</v>
    <v>1566.85</v>
    <v>1565.9</v>
    <v>1546.4</v>
    <v>1539</v>
    <v>1538.4</v>
    <v>1540.9</v>
    <v>1542.55</v>
    <v>1528.8</v>
    <v>1535.3</v>
    <v>1544.9</v>
    <v>1556</v>
    <v>1556.05</v>
    <v>1541.8</v>
    <v>1544.6</v>
    <v>1544.35</v>
    <v>1565.1</v>
    <v>1575.45</v>
    <v>1570.9</v>
    <v>1557.95</v>
    <v>1559</v>
    <v>1545.3</v>
    <v>1540.8</v>
    <v>1569.4</v>
    <v>1574.9</v>
    <v>1592.45</v>
    <v>1577.45</v>
    <v>1507.7</v>
    <v>1504.1</v>
    <v>1470.3</v>
    <v>1475.3</v>
    <v>1483.3</v>
    <v>1451.5</v>
    <v>1458.45</v>
    <v>1457.6</v>
    <v>1413.25</v>
    <v>1393.4</v>
    <v>1403.9</v>
    <v>1401.8</v>
    <v>1385.95</v>
    <v>1381.05</v>
    <v>1397.05</v>
    <v>1391.9</v>
    <v>1395.9</v>
    <v>1346</v>
    <v>1390.15</v>
    <v>1437.85</v>
    <v>1456.6</v>
    <v>1443.4</v>
    <v>1450.85</v>
    <v>1461.4</v>
    <v>1458.55</v>
    <v>1468.55</v>
    <v>1449.85</v>
    <v>1419.9</v>
    <v>1436.4</v>
    <v>1422.8</v>
    <v>1441.25</v>
    <v>1410.8</v>
    <v>1420.05</v>
  </a>
  <a r="1" c="246">
    <v>716.4</v>
    <v>710.9</v>
    <v>703.9</v>
    <v>688.8</v>
    <v>695.3</v>
    <v>716.05</v>
    <v>730.35</v>
    <v>732.05</v>
    <v>732.75</v>
    <v>728.9</v>
    <v>729.85</v>
    <v>723.05</v>
    <v>727.85</v>
    <v>723.15</v>
    <v>736.7</v>
    <v>745.1</v>
    <v>749.55</v>
    <v>753.2</v>
    <v>780.8</v>
    <v>772.85</v>
    <v>764</v>
    <v>772.3</v>
    <v>771.5</v>
    <v>771.7</v>
    <v>775.95</v>
    <v>779.2</v>
    <v>767.45</v>
    <v>746.9</v>
    <v>768.6</v>
    <v>742.2</v>
    <v>753.85</v>
    <v>763.5</v>
    <v>771.75</v>
    <v>797.45</v>
    <v>816.7</v>
    <v>822.4</v>
    <v>813.45</v>
    <v>813.4</v>
    <v>798.65</v>
    <v>817.35</v>
    <v>812.55</v>
    <v>788.65</v>
    <v>800</v>
    <v>790</v>
    <v>774.1</v>
    <v>776.1</v>
    <v>769</v>
    <v>779.25</v>
    <v>801.65</v>
    <v>801.75</v>
    <v>800.7</v>
    <v>807.75</v>
    <v>792.1</v>
    <v>795</v>
    <v>785.65</v>
    <v>787.1</v>
    <v>785.25</v>
    <v>790.5</v>
    <v>794.4</v>
    <v>793.7</v>
    <v>796.55</v>
    <v>797.35</v>
    <v>812.3</v>
    <v>813.65</v>
    <v>809.8</v>
    <v>806.5</v>
    <v>806</v>
    <v>813.05</v>
    <v>820.05</v>
    <v>817.05</v>
    <v>815.05</v>
    <v>805.95</v>
    <v>792.35</v>
    <v>792.5</v>
    <v>792.3</v>
    <v>791.9</v>
    <v>785.1</v>
    <v>796.15</v>
    <v>790.2</v>
    <v>795.4</v>
    <v>800.05</v>
    <v>797.05</v>
    <v>805.4</v>
    <v>820.35</v>
    <v>820.3</v>
    <v>812.9</v>
    <v>807.1</v>
    <v>811.85</v>
    <v>806.85</v>
    <v>812.65</v>
    <v>810.95</v>
    <v>808</v>
    <v>808.65</v>
    <v>808.85</v>
    <v>816.45</v>
    <v>831.7</v>
    <v>829</v>
    <v>823.35</v>
    <v>824.2</v>
    <v>815</v>
    <v>820.65</v>
    <v>815.7</v>
    <v>806.55</v>
    <v>797.15</v>
    <v>799.2</v>
    <v>801.65</v>
    <v>796.55</v>
    <v>794</v>
    <v>795.7</v>
    <v>800.6</v>
    <v>805.15</v>
    <v>805.15</v>
    <v>804.3</v>
    <v>823.45</v>
    <v>820.6</v>
    <v>821.85</v>
    <v>826.55</v>
    <v>827.65</v>
    <v>830.4</v>
    <v>828.95</v>
    <v>825.7</v>
    <v>816.25</v>
    <v>816.45</v>
    <v>807.85</v>
    <v>801.95</v>
    <v>802.5</v>
    <v>806.05</v>
    <v>803.9</v>
    <v>812.15</v>
    <v>809.4</v>
    <v>806.6</v>
    <v>808.8</v>
    <v>808.85</v>
    <v>818.2</v>
    <v>823.65</v>
    <v>823.55</v>
    <v>824.75</v>
    <v>831.55</v>
    <v>857.15</v>
    <v>854.35</v>
    <v>862.35</v>
    <v>855.25</v>
    <v>870.6</v>
    <v>866.2</v>
    <v>861.15</v>
    <v>856.95</v>
    <v>870.75</v>
    <v>872.45</v>
    <v>864.1</v>
    <v>867.3</v>
    <v>874.05</v>
    <v>864.7</v>
    <v>858.25</v>
    <v>862.1</v>
    <v>880.65</v>
    <v>882.95</v>
    <v>876.95</v>
    <v>886.1</v>
    <v>886.95</v>
    <v>889.15</v>
    <v>907.5</v>
    <v>907.85</v>
    <v>911.55</v>
    <v>904.5</v>
    <v>922.75</v>
    <v>930.25</v>
    <v>939.75</v>
    <v>934.35</v>
    <v>937</v>
    <v>949.7</v>
    <v>957.6</v>
    <v>960.75</v>
    <v>955.85</v>
    <v>951.15</v>
    <v>953.3</v>
    <v>957.15</v>
    <v>954</v>
    <v>967.85</v>
    <v>973.35</v>
    <v>972.45</v>
    <v>982.75</v>
    <v>981.55</v>
    <v>972.6</v>
    <v>970.6</v>
    <v>983.6</v>
    <v>983.9</v>
    <v>972.85</v>
    <v>979</v>
    <v>973.1</v>
    <v>967.3</v>
    <v>951.05</v>
    <v>948.1</v>
    <v>971.5</v>
    <v>956.4</v>
    <v>959.35</v>
    <v>959.75</v>
    <v>963.25</v>
    <v>963.15</v>
    <v>967.25</v>
    <v>961.15</v>
    <v>975.85</v>
    <v>977.55</v>
    <v>980.3</v>
    <v>974.3</v>
    <v>971.9</v>
    <v>968.95</v>
    <v>966.3</v>
    <v>965.05</v>
    <v>973.45</v>
    <v>982.2</v>
    <v>984.75</v>
    <v>998.95</v>
    <v>1005.55</v>
    <v>1018.9</v>
    <v>1007.15</v>
    <v>998</v>
    <v>1000.5</v>
    <v>1015.15</v>
    <v>1028.45</v>
    <v>1028.3499999999999</v>
    <v>1042.3</v>
    <v>1038.4000000000001</v>
    <v>1036.4000000000001</v>
    <v>1028.6500000000001</v>
    <v>1048.3499999999999</v>
    <v>1029.5</v>
    <v>1053.1500000000001</v>
    <v>1063.5</v>
    <v>1066.2</v>
    <v>1077.1500000000001</v>
    <v>1018.2</v>
    <v>1028.7</v>
    <v>1064.2</v>
    <v>1068.2</v>
    <v>1073.5</v>
    <v>1066.4000000000001</v>
    <v>1146</v>
    <v>1144.0999999999999</v>
    <v>1182.9000000000001</v>
    <v>1192.4000000000001</v>
    <v>1198.5999999999999</v>
    <v>1208.0999999999999</v>
    <v>1213.4000000000001</v>
    <v>1218.9000000000001</v>
    <v>1205.7</v>
    <v>1216.0999999999999</v>
  </a>
  <a r="1" c="246">
    <v>1639.5</v>
    <v>1613.6</v>
    <v>1647.5</v>
    <v>1593.25</v>
    <v>1585.1</v>
    <v>1566.5</v>
    <v>1582.45</v>
    <v>1614</v>
    <v>1609.3</v>
    <v>1611.5</v>
    <v>1655.3</v>
    <v>1676.85</v>
    <v>1683.45</v>
    <v>1704.3</v>
    <v>1747.8</v>
    <v>1732.35</v>
    <v>1750.25</v>
    <v>1784.5</v>
    <v>1784.8</v>
    <v>1764.75</v>
    <v>1758.95</v>
    <v>1731.45</v>
    <v>1734.7</v>
    <v>1698.35</v>
    <v>1713.65</v>
    <v>1770</v>
    <v>1709.35</v>
    <v>1666.35</v>
    <v>1688.35</v>
    <v>1652.2</v>
    <v>1687.55</v>
    <v>1705</v>
    <v>1693.1</v>
    <v>1751.5</v>
    <v>1744.9</v>
    <v>1747.4</v>
    <v>1788.8</v>
    <v>1803.9</v>
    <v>1787.4</v>
    <v>1841.6</v>
    <v>1805.5</v>
    <v>1832.3</v>
    <v>1829.4</v>
    <v>1836.6</v>
    <v>1819.1</v>
    <v>1781.3</v>
    <v>1767.2</v>
    <v>1744.8</v>
    <v>1686.2</v>
    <v>1700</v>
    <v>1708.2</v>
    <v>1740.1</v>
    <v>1734.9</v>
    <v>1730.2</v>
    <v>1707.8</v>
    <v>1731.8</v>
    <v>1718.7</v>
    <v>1683.6</v>
    <v>1676.1</v>
    <v>1683.4</v>
    <v>1666.4</v>
    <v>1699.8</v>
    <v>1677.6</v>
    <v>1674.6</v>
    <v>1667.5</v>
    <v>1664.9</v>
    <v>1683.1</v>
    <v>1679.2</v>
    <v>1694.4</v>
    <v>1688.8</v>
    <v>1690.6</v>
    <v>1687.4</v>
    <v>1687.8</v>
    <v>1685.3</v>
    <v>1650.2</v>
    <v>1648</v>
    <v>1647.6</v>
    <v>1665.1</v>
    <v>1662.5</v>
    <v>1661.7</v>
    <v>1669.6</v>
    <v>1669.8</v>
    <v>1687.6</v>
    <v>1675.7</v>
    <v>1667.2</v>
    <v>1677.5</v>
    <v>1679.7</v>
    <v>1676.3</v>
    <v>1679.9</v>
    <v>1672.5</v>
    <v>1669.4</v>
    <v>1662.5</v>
    <v>1672</v>
    <v>1682.6</v>
    <v>1727.5</v>
    <v>1701</v>
    <v>1703.4</v>
    <v>1693.6</v>
    <v>1692.3</v>
    <v>1678</v>
    <v>1682.5</v>
    <v>1692</v>
    <v>1699</v>
    <v>1702.2</v>
    <v>1710.5</v>
    <v>1733.8</v>
    <v>1706.7</v>
    <v>1629.7</v>
    <v>1641.6</v>
    <v>1632.1</v>
    <v>1595.2</v>
    <v>1598.4</v>
    <v>1586.9</v>
    <v>1608.4</v>
    <v>1622.2</v>
    <v>1639.8</v>
    <v>1641.4</v>
    <v>1632.7</v>
    <v>1626.6</v>
    <v>1633.1</v>
    <v>1640.2</v>
    <v>1641.8</v>
    <v>1656.7</v>
    <v>1600.3</v>
    <v>1585.7</v>
    <v>1594.5</v>
    <v>1563.3</v>
    <v>1565.2</v>
    <v>1578.7</v>
    <v>1582.3</v>
    <v>1593.6</v>
    <v>1581</v>
    <v>1591.7</v>
    <v>1593.4</v>
    <v>1609.7</v>
    <v>1616.6</v>
    <v>1602</v>
    <v>1610.5</v>
    <v>1620.2</v>
    <v>1648.6</v>
    <v>1656</v>
    <v>1644</v>
    <v>1631.2</v>
    <v>1627.1</v>
    <v>1627.4</v>
    <v>1586.7</v>
    <v>1589.3</v>
    <v>1594.3</v>
    <v>1636.2</v>
    <v>1631.2</v>
    <v>1654.7</v>
    <v>1653.1</v>
    <v>1631.6</v>
    <v>1658.5</v>
    <v>1670.9</v>
    <v>1668.4</v>
    <v>1654.4</v>
    <v>1655.1</v>
    <v>1659</v>
    <v>1679.1</v>
    <v>1688.6</v>
    <v>1690.5</v>
    <v>1689.9</v>
    <v>1699</v>
    <v>1693.6</v>
    <v>1687</v>
    <v>1715.9</v>
    <v>1703.4</v>
    <v>1690.7</v>
    <v>1706.4</v>
    <v>1690</v>
    <v>1685.9</v>
    <v>1691.4</v>
    <v>1697.8</v>
    <v>1716.1</v>
    <v>1732.1</v>
    <v>1737.4</v>
    <v>1757.1</v>
    <v>1763.9</v>
    <v>1758.8</v>
    <v>1784.1</v>
    <v>1777.4</v>
    <v>1779.7</v>
    <v>1780.8</v>
    <v>1776.8</v>
    <v>1804.9</v>
    <v>1810.3</v>
    <v>1831.6</v>
    <v>1807.4</v>
    <v>1799.5</v>
    <v>1806.7</v>
    <v>1818.3</v>
    <v>1805.3</v>
    <v>1796.2</v>
    <v>1776</v>
    <v>1785.5</v>
    <v>1807.2</v>
    <v>1793.5</v>
    <v>1797.1</v>
    <v>1781.3</v>
    <v>1792.9</v>
    <v>1745.9</v>
    <v>1744.9</v>
    <v>1769.8</v>
    <v>1755.9</v>
    <v>1737</v>
    <v>1719.5</v>
    <v>1717.2</v>
    <v>1720.2</v>
    <v>1719.7</v>
    <v>1721.1</v>
    <v>1728</v>
    <v>1728.9</v>
    <v>1760.2</v>
    <v>1782.6</v>
    <v>1760.7</v>
    <v>1729.9</v>
    <v>1736</v>
    <v>1728.7</v>
    <v>1700.7</v>
    <v>1668.9</v>
    <v>1675.4</v>
    <v>1613.8</v>
    <v>1612.9</v>
    <v>1634.2</v>
    <v>1631.9</v>
    <v>1638.9</v>
    <v>1610.6</v>
    <v>1589.3</v>
    <v>1595.3</v>
    <v>1610.1</v>
    <v>1627.9</v>
    <v>1702.1</v>
    <v>1704.4</v>
    <v>1702.6</v>
    <v>1695.1</v>
    <v>1704.6</v>
    <v>1707.8</v>
    <v>1711.1</v>
    <v>1714.9</v>
    <v>1697.5</v>
    <v>1700.5</v>
    <v>1717.1</v>
    <v>1724.4</v>
    <v>1713.4</v>
    <v>1724.4</v>
  </a>
  <a r="1" c="246">
    <v>401.85</v>
    <v>404.85</v>
    <v>401.45</v>
    <v>394.7</v>
    <v>397.55</v>
    <v>394.85</v>
    <v>405.35</v>
    <v>405.75</v>
    <v>403.8</v>
    <v>405.05</v>
    <v>406.1</v>
    <v>412.1</v>
    <v>411.85</v>
    <v>407.8</v>
    <v>409.4</v>
    <v>403.05</v>
    <v>403.7</v>
    <v>405.8</v>
    <v>410.95</v>
    <v>409.9</v>
    <v>407.05</v>
    <v>409.4</v>
    <v>409.8</v>
    <v>406.65</v>
    <v>408.95</v>
    <v>409.3</v>
    <v>409.55</v>
    <v>406.05</v>
    <v>412.55</v>
    <v>416.15</v>
    <v>421.8</v>
    <v>420.3</v>
    <v>424.15</v>
    <v>427.25</v>
    <v>422.8</v>
    <v>433.7</v>
    <v>430.75</v>
    <v>430.1</v>
    <v>428.15</v>
    <v>428.8</v>
    <v>425.9</v>
    <v>425.3</v>
    <v>430.15</v>
    <v>437.1</v>
    <v>435.65</v>
    <v>430.65</v>
    <v>430.35</v>
    <v>423.5</v>
    <v>435.5</v>
    <v>428.05</v>
    <v>429.3</v>
    <v>432.45</v>
    <v>435.6</v>
    <v>435.1</v>
    <v>434.85</v>
    <v>432.95</v>
    <v>426.1</v>
    <v>436.3</v>
    <v>442.8</v>
    <v>433.9</v>
    <v>420.1</v>
    <v>418.75</v>
    <v>417.9</v>
    <v>419.35</v>
    <v>416.8</v>
    <v>416.7</v>
    <v>419.3</v>
    <v>420.9</v>
    <v>423.05</v>
    <v>427.1</v>
    <v>426.1</v>
    <v>420.95</v>
    <v>413.9</v>
    <v>418.1</v>
    <v>417.35</v>
    <v>415.8</v>
    <v>416</v>
    <v>418.45</v>
    <v>414.6</v>
    <v>414.25</v>
    <v>416.35</v>
    <v>420.35</v>
    <v>418.95</v>
    <v>416.5</v>
    <v>415.2</v>
    <v>412.9</v>
    <v>413.55</v>
    <v>412.55</v>
    <v>416.15</v>
    <v>417.05</v>
    <v>419.35</v>
    <v>416.9</v>
    <v>417.05</v>
    <v>419.3</v>
    <v>422.15</v>
    <v>424.45</v>
    <v>423.8</v>
    <v>422.65</v>
    <v>420.15</v>
    <v>416.1</v>
    <v>414.95</v>
    <v>410</v>
    <v>409.35</v>
    <v>409.8</v>
    <v>408.55</v>
    <v>407.7</v>
    <v>411.8</v>
    <v>416.5</v>
    <v>416.65</v>
    <v>414.05</v>
    <v>412</v>
    <v>413.6</v>
    <v>414.4</v>
    <v>416.8</v>
    <v>416.4</v>
    <v>414</v>
    <v>411.4</v>
    <v>406.2</v>
    <v>409.05</v>
    <v>406</v>
    <v>405.75</v>
    <v>398.3</v>
    <v>399.4</v>
    <v>403.1</v>
    <v>400.7</v>
    <v>409.75</v>
    <v>405.7</v>
    <v>406.65</v>
    <v>411.5</v>
    <v>415.85</v>
    <v>407.5</v>
    <v>407.4</v>
    <v>410.2</v>
    <v>412.95</v>
    <v>415</v>
    <v>413.6</v>
    <v>412.65</v>
    <v>413.15</v>
    <v>409.3</v>
    <v>411.95</v>
    <v>410.15</v>
    <v>407.1</v>
    <v>403.35</v>
    <v>401.25</v>
    <v>400.2</v>
    <v>405.05</v>
    <v>406.45</v>
    <v>401.6</v>
    <v>405.65</v>
    <v>404.35</v>
    <v>400.8</v>
    <v>399.85</v>
    <v>399.7</v>
    <v>399.9</v>
    <v>402.8</v>
    <v>399.1</v>
    <v>396.7</v>
    <v>400.05</v>
    <v>405.05</v>
    <v>412.1</v>
    <v>412.95</v>
    <v>412.85</v>
    <v>415.85</v>
    <v>417.1</v>
    <v>420.35</v>
    <v>417.95</v>
    <v>421.6</v>
    <v>418.7</v>
    <v>420.25</v>
    <v>413.95</v>
    <v>408.6</v>
    <v>407.3</v>
    <v>404</v>
    <v>405.65</v>
    <v>406.85</v>
    <v>407.05</v>
    <v>405.75</v>
    <v>407.85</v>
    <v>407.1</v>
    <v>405.75</v>
    <v>403.55</v>
    <v>405.5</v>
    <v>407.8</v>
    <v>403.6</v>
    <v>400.7</v>
    <v>402.25</v>
    <v>403.95</v>
    <v>404.4</v>
    <v>404.4</v>
    <v>401.05</v>
    <v>400.55</v>
    <v>403.05</v>
    <v>404.8</v>
    <v>402.15</v>
    <v>400.85</v>
    <v>403.1</v>
    <v>403.05</v>
    <v>400.5</v>
    <v>402.3</v>
    <v>401.7</v>
    <v>399.95</v>
    <v>400.2</v>
    <v>401.1</v>
    <v>402.55</v>
    <v>407.65</v>
    <v>406.65</v>
    <v>404.3</v>
    <v>402.4</v>
    <v>400.6</v>
    <v>403</v>
    <v>363.95</v>
    <v>350.15</v>
    <v>349.7</v>
    <v>342.45</v>
    <v>341.35</v>
    <v>340.9</v>
    <v>337.1</v>
    <v>338.35</v>
    <v>334.65</v>
    <v>334.75</v>
    <v>329.25</v>
    <v>332.9</v>
    <v>326.39999999999998</v>
    <v>324.7</v>
    <v>324.89999999999998</v>
    <v>323.45</v>
    <v>318.8</v>
    <v>321.25</v>
    <v>318.64999999999998</v>
    <v>322.2</v>
    <v>309.60000000000002</v>
    <v>314.8</v>
    <v>316.7</v>
    <v>313.85000000000002</v>
    <v>310.25</v>
    <v>326.05</v>
    <v>322.55</v>
    <v>321.35000000000002</v>
    <v>318.2</v>
    <v>317.64999999999998</v>
    <v>313.60000000000002</v>
    <v>317.95</v>
    <v>325.3</v>
    <v>332.5</v>
    <v>325.75</v>
    <v>327</v>
  </a>
  <a r="1" c="14">
    <v t="i">0</v>
    <v t="i">4</v>
    <v t="i">5</v>
    <v t="i">6</v>
    <v t="i">7</v>
    <v t="i">9</v>
    <v t="i">10</v>
    <v t="i">11</v>
    <v t="i">12</v>
    <v t="i">13</v>
    <v t="i">14</v>
    <v t="i">17</v>
    <v t="i">18</v>
    <v t="i">19</v>
  </a>
  <a r="1" c="14">
    <v>10360</v>
    <v>10184</v>
    <v>10279</v>
    <v>10337</v>
    <v>10446</v>
    <v>10196</v>
    <v>10339</v>
    <v>11031</v>
    <v>11678</v>
    <v>11376</v>
    <v>11502</v>
    <v>11757</v>
    <v>11609</v>
    <v>11741</v>
  </a>
  <a r="1" c="14">
    <v>10575</v>
    <v>10400</v>
    <v>10189</v>
    <v>10299</v>
    <v>10100</v>
    <v>10590</v>
    <v>10250</v>
    <v>11100</v>
    <v>11032</v>
    <v>11700</v>
    <v>11349</v>
    <v>11655</v>
    <v>11820</v>
    <v>11640</v>
  </a>
  <a r="1" c="14">
    <v>10664</v>
    <v>10400</v>
    <v>10350</v>
    <v>10436</v>
    <v>10843</v>
    <v>11026</v>
    <v>10530</v>
    <v>11200</v>
    <v>11713</v>
    <v>11713</v>
    <v>11549</v>
    <v>11845</v>
    <v>11847</v>
    <v>11766</v>
  </a>
  <a r="1" c="14">
    <v>10330</v>
    <v>9990</v>
    <v>10038</v>
    <v>10056</v>
    <v>9835</v>
    <v>9968</v>
    <v>10102</v>
    <v>10852</v>
    <v>10926</v>
    <v>11154</v>
    <v>11172</v>
    <v>11550</v>
    <v>11563</v>
    <v>11490</v>
  </a>
  <a r="1" c="14">
    <v>486607</v>
    <v>702193</v>
    <v>661357</v>
    <v>672993</v>
    <v>1996677</v>
    <v>1489233</v>
    <v>822592</v>
    <v>1584528</v>
    <v>1509099</v>
    <v>1047347</v>
    <v>477648</v>
    <v>485574</v>
    <v>546495</v>
    <v>448093</v>
  </a>
  <a r="1" c="239">
    <v t="i">2</v>
    <v t="i">3</v>
    <v t="i">5</v>
    <v t="i">6</v>
    <v t="i">9</v>
    <v t="i">10</v>
    <v t="i">11</v>
    <v t="i">12</v>
    <v t="i">13</v>
    <v t="i">16</v>
    <v t="i">17</v>
    <v t="i">18</v>
    <v t="i">19</v>
    <v t="i">23</v>
    <v t="i">24</v>
    <v t="i">25</v>
    <v t="i">26</v>
    <v t="i">27</v>
    <v t="i">30</v>
    <v t="i">31</v>
    <v t="i">32</v>
    <v t="i">33</v>
    <v t="i">34</v>
    <v t="i">38</v>
    <v t="i">39</v>
    <v t="i">40</v>
    <v t="i">41</v>
    <v t="i">44</v>
    <v t="i">45</v>
    <v t="i">46</v>
    <v t="i">48</v>
    <v t="i">52</v>
    <v t="i">53</v>
    <v t="i">54</v>
    <v t="i">58</v>
    <v t="i">59</v>
    <v t="i">60</v>
    <v t="i">61</v>
    <v t="i">62</v>
    <v t="i">65</v>
    <v t="i">66</v>
    <v t="i">67</v>
    <v t="i">69</v>
    <v t="i">72</v>
    <v t="i">73</v>
    <v t="i">74</v>
    <v t="i">75</v>
    <v t="i">76</v>
    <v t="i">79</v>
    <v t="i">80</v>
    <v t="i">81</v>
    <v t="i">82</v>
    <v t="i">83</v>
    <v t="i">86</v>
    <v t="i">87</v>
    <v t="i">88</v>
    <v t="i">89</v>
    <v t="i">90</v>
    <v t="i">93</v>
    <v t="i">94</v>
    <v t="i">95</v>
    <v t="i">96</v>
    <v t="i">97</v>
    <v t="i">100</v>
    <v t="i">101</v>
    <v t="i">102</v>
    <v t="i">103</v>
    <v t="i">104</v>
    <v t="i">107</v>
    <v t="i">108</v>
    <v t="i">109</v>
    <v t="i">110</v>
    <v t="i">111</v>
    <v t="i">114</v>
    <v t="i">115</v>
    <v t="i">116</v>
    <v t="i">117</v>
    <v t="i">118</v>
    <v t="i">121</v>
    <v t="i">122</v>
    <v t="i">123</v>
    <v t="i">124</v>
    <v t="i">125</v>
    <v t="i">128</v>
    <v t="i">129</v>
    <v t="i">130</v>
    <v t="i">131</v>
    <v t="i">132</v>
    <v t="i">135</v>
    <v t="i">136</v>
    <v t="i">137</v>
    <v t="i">138</v>
    <v t="i">139</v>
    <v t="i">142</v>
    <v t="i">143</v>
    <v t="i">144</v>
    <v t="i">145</v>
    <v t="i">146</v>
    <v t="i">149</v>
    <v t="i">150</v>
    <v t="i">151</v>
    <v t="i">152</v>
    <v t="i">153</v>
    <v t="i">156</v>
    <v t="i">157</v>
    <v t="i">158</v>
    <v t="i">159</v>
    <v t="i">160</v>
    <v t="i">163</v>
    <v t="i">164</v>
    <v t="i">165</v>
    <v t="i">166</v>
    <v t="i">167</v>
    <v t="i">170</v>
    <v t="i">171</v>
    <v t="i">172</v>
    <v t="i">173</v>
    <v t="i">177</v>
    <v t="i">178</v>
    <v t="i">179</v>
    <v t="i">180</v>
    <v t="i">181</v>
    <v t="i">184</v>
    <v t="i">185</v>
    <v t="i">187</v>
    <v t="i">188</v>
    <v t="i">191</v>
    <v t="i">192</v>
    <v t="i">193</v>
    <v t="i">194</v>
    <v t="i">195</v>
    <v t="i">198</v>
    <v t="i">199</v>
    <v t="i">200</v>
    <v t="i">201</v>
    <v t="i">202</v>
    <v t="i">205</v>
    <v t="i">206</v>
    <v t="i">207</v>
    <v t="i">208</v>
    <v t="i">209</v>
    <v t="i">212</v>
    <v t="i">213</v>
    <v t="i">214</v>
    <v t="i">215</v>
    <v t="i">216</v>
    <v t="i">219</v>
    <v t="i">220</v>
    <v t="i">221</v>
    <v t="i">223</v>
    <v t="i">226</v>
    <v t="i">227</v>
    <v t="i">228</v>
    <v t="i">229</v>
    <v t="i">230</v>
    <v t="i">233</v>
    <v t="i">234</v>
    <v t="i">235</v>
    <v t="i">236</v>
    <v t="i">237</v>
    <v t="i">240</v>
    <v t="i">241</v>
    <v t="i">243</v>
    <v t="i">244</v>
    <v t="i">247</v>
    <v t="i">248</v>
    <v t="i">249</v>
    <v t="i">250</v>
    <v t="i">251</v>
    <v t="i">254</v>
    <v t="i">255</v>
    <v t="i">257</v>
    <v t="i">258</v>
    <v t="i">261</v>
    <v t="i">262</v>
    <v t="i">263</v>
    <v t="i">264</v>
    <v t="i">265</v>
    <v t="i">268</v>
    <v t="i">269</v>
    <v t="i">270</v>
    <v t="i">271</v>
    <v t="i">272</v>
    <v t="i">275</v>
    <v t="i">276</v>
    <v t="i">277</v>
    <v t="i">278</v>
    <v t="i">279</v>
    <v t="i">282</v>
    <v t="i">283</v>
    <v t="i">284</v>
    <v t="i">285</v>
    <v t="i">286</v>
    <v t="i">289</v>
    <v t="i">290</v>
    <v t="i">291</v>
    <v t="i">292</v>
    <v t="i">293</v>
    <v t="i">296</v>
    <v t="i">297</v>
    <v t="i">298</v>
    <v t="i">299</v>
    <v t="i">300</v>
    <v t="i">303</v>
    <v t="i">304</v>
    <v t="i">305</v>
    <v t="i">307</v>
    <v t="i">310</v>
    <v t="i">311</v>
    <v t="i">312</v>
    <v t="i">313</v>
    <v t="i">314</v>
    <v t="i">317</v>
    <v t="i">318</v>
    <v t="i">319</v>
    <v t="i">320</v>
    <v t="i">321</v>
    <v t="i">324</v>
    <v t="i">325</v>
    <v t="i">326</v>
    <v t="i">328</v>
    <v t="i">331</v>
    <v t="i">332</v>
    <v t="i">333</v>
    <v t="i">334</v>
    <v t="i">335</v>
    <v t="i">339</v>
    <v t="i">340</v>
    <v t="i">341</v>
    <v t="i">342</v>
    <v t="i">344</v>
    <v t="i">345</v>
    <v t="i">346</v>
    <v t="i">347</v>
    <v t="i">348</v>
    <v t="i">349</v>
    <v t="i">352</v>
    <v t="i">353</v>
    <v t="i">354</v>
  </a>
  <a r="1" c="239">
    <v>14043.35</v>
    <v>14151.6</v>
    <v>13824.3</v>
    <v>13935.85</v>
    <v>14051.75</v>
    <v>14190.35</v>
    <v>14497.45</v>
    <v>14256.25</v>
    <v>13911.25</v>
    <v>13131.15</v>
    <v>13298.9</v>
    <v>13078.95</v>
    <v>13324.05</v>
    <v>13098.2</v>
    <v>13470.15</v>
    <v>13875.6</v>
    <v>13905.7</v>
    <v>14056.8</v>
    <v>14608.35</v>
    <v>13624.5</v>
    <v>13260.4</v>
    <v>13510.8</v>
    <v>13179.5</v>
    <v>12923.9</v>
    <v>13450.7</v>
    <v>13487.95</v>
    <v>13137.55</v>
    <v>12556.05</v>
    <v>12991.8</v>
    <v>13282.45</v>
    <v>14301.9</v>
    <v>14931</v>
    <v>15252</v>
    <v>15323</v>
    <v>15816</v>
    <v>16675</v>
    <v>16607</v>
    <v>16588</v>
    <v>16219</v>
    <v>16415</v>
    <v>16614</v>
    <v>16452</v>
    <v>16347</v>
    <v>16710</v>
    <v>16056</v>
    <v>16095</v>
    <v>15626</v>
    <v>15190</v>
    <v>16073</v>
    <v>16219</v>
    <v>16121</v>
    <v>16433</v>
    <v>16660</v>
    <v>16574</v>
    <v>16566</v>
    <v>15612</v>
    <v>15170</v>
    <v>15019</v>
    <v>15085</v>
    <v>15091</v>
    <v>14816</v>
    <v>14808</v>
    <v>14692</v>
    <v>14612</v>
    <v>14453</v>
    <v>14956</v>
    <v>14694</v>
    <v>14855</v>
    <v>14914</v>
    <v>14982</v>
    <v>14790</v>
    <v>14518</v>
    <v>14311</v>
    <v>14313</v>
    <v>14243</v>
    <v>14367</v>
    <v>14004</v>
    <v>14047</v>
    <v>14571</v>
    <v>14506</v>
    <v>14165</v>
    <v>14315</v>
    <v>14473</v>
    <v>14983</v>
    <v>14716</v>
    <v>15163</v>
    <v>15074</v>
    <v>15202</v>
    <v>15433</v>
    <v>15473</v>
    <v>15710</v>
    <v>15849</v>
    <v>15786</v>
    <v>15898</v>
    <v>15823</v>
    <v>16099</v>
    <v>16107</v>
    <v>15960</v>
    <v>16281</v>
    <v>16112</v>
    <v>16556</v>
    <v>16768</v>
    <v>16700</v>
    <v>16744</v>
    <v>16784</v>
    <v>16765</v>
    <v>16841</v>
    <v>16848</v>
    <v>17002</v>
    <v>16849</v>
    <v>16513</v>
    <v>16663</v>
    <v>15864</v>
    <v>16088</v>
    <v>15828</v>
    <v>15952</v>
    <v>16191</v>
    <v>16756</v>
    <v>16905</v>
    <v>16876</v>
    <v>16725</v>
    <v>16893</v>
    <v>17018</v>
    <v>16668</v>
    <v>16678</v>
    <v>16690</v>
    <v>17582</v>
    <v>17553</v>
    <v>17759</v>
    <v>17852</v>
    <v>17855</v>
    <v>18006</v>
    <v>18002</v>
    <v>17897</v>
    <v>18041</v>
    <v>18103</v>
    <v>17985</v>
    <v>18110</v>
    <v>18110</v>
    <v>18331</v>
    <v>18177</v>
    <v>18082</v>
    <v>18130</v>
    <v>18161</v>
    <v>18202</v>
    <v>17511</v>
    <v>16678</v>
    <v>16322</v>
    <v>16453</v>
    <v>16591</v>
    <v>17041</v>
    <v>17232</v>
    <v>16859</v>
    <v>17098</v>
    <v>17445</v>
    <v>17195</v>
    <v>16634</v>
    <v>16777</v>
    <v>16844</v>
    <v>16700</v>
    <v>16075</v>
    <v>16122</v>
    <v>15611</v>
    <v>15490</v>
    <v>15505</v>
    <v>15372</v>
    <v>15512</v>
    <v>15644</v>
    <v>15494</v>
    <v>15485</v>
    <v>15254</v>
    <v>15079</v>
    <v>14849</v>
    <v>14867</v>
    <v>15094</v>
    <v>15307</v>
    <v>15323</v>
    <v>15419</v>
    <v>15641</v>
    <v>15697</v>
    <v>15540</v>
    <v>15313</v>
    <v>14965</v>
    <v>14669</v>
    <v>14401</v>
    <v>14825</v>
    <v>14643</v>
    <v>14601</v>
    <v>14566</v>
    <v>14494</v>
    <v>14018</v>
    <v>13707</v>
    <v>13749</v>
    <v>13563</v>
    <v>13517</v>
    <v>12351</v>
    <v>12988</v>
    <v>13379</v>
    <v>13737</v>
    <v>13628</v>
    <v>13274</v>
    <v>13299</v>
    <v>13268</v>
    <v>12845</v>
    <v>12832</v>
    <v>12629</v>
    <v>12328</v>
    <v>11857</v>
    <v>11767</v>
    <v>12102</v>
    <v>12091</v>
    <v>12165</v>
    <v>12051</v>
    <v>11726</v>
    <v>11770</v>
    <v>11987</v>
    <v>11902</v>
    <v>11842</v>
    <v>11238</v>
    <v>11103</v>
    <v>10732</v>
    <v>11024</v>
    <v>10682</v>
    <v>10517</v>
    <v>10512</v>
    <v>10360</v>
    <v>10184</v>
    <v>10279</v>
    <v>10337</v>
    <v>10446</v>
    <v>10196</v>
    <v>10339</v>
    <v>11031</v>
    <v>11678</v>
    <v>11376</v>
    <v>11502</v>
    <v>11757</v>
    <v>11609</v>
    <v>11741</v>
  </a>
  <a r="1" c="72">
    <v t="i">262</v>
    <v t="i">263</v>
    <v t="i">264</v>
    <v t="i">265</v>
    <v t="i">268</v>
    <v t="i">269</v>
    <v t="i">270</v>
    <v t="i">271</v>
    <v t="i">272</v>
    <v t="i">275</v>
    <v t="i">276</v>
    <v t="i">277</v>
    <v t="i">278</v>
    <v t="i">279</v>
    <v t="i">282</v>
    <v t="i">283</v>
    <v t="i">284</v>
    <v t="i">285</v>
    <v t="i">286</v>
    <v t="i">289</v>
    <v t="i">290</v>
    <v t="i">291</v>
    <v t="i">292</v>
    <v t="i">293</v>
    <v t="i">296</v>
    <v t="i">297</v>
    <v t="i">298</v>
    <v t="i">299</v>
    <v t="i">300</v>
    <v t="i">303</v>
    <v t="i">304</v>
    <v t="i">305</v>
    <v t="i">307</v>
    <v t="i">310</v>
    <v t="i">311</v>
    <v t="i">312</v>
    <v t="i">313</v>
    <v t="i">314</v>
    <v t="i">317</v>
    <v t="i">318</v>
    <v t="i">319</v>
    <v t="i">320</v>
    <v t="i">321</v>
    <v t="i">324</v>
    <v t="i">325</v>
    <v t="i">326</v>
    <v t="i">328</v>
    <v t="i">331</v>
    <v t="i">332</v>
    <v t="i">333</v>
    <v t="i">334</v>
    <v t="i">335</v>
    <v t="i">339</v>
    <v t="i">340</v>
    <v t="i">341</v>
    <v t="i">342</v>
    <v t="i">344</v>
    <v t="i">345</v>
    <v t="i">346</v>
    <v t="i">347</v>
    <v t="i">348</v>
    <v t="i">349</v>
    <v t="i">352</v>
    <v t="i">353</v>
    <v t="i">354</v>
    <v t="i">355</v>
    <v t="i">356</v>
    <v t="i">359</v>
    <v t="i">360</v>
    <v t="i">361</v>
    <v t="i">362</v>
    <v t="i">363</v>
  </a>
  <a r="1" c="72">
    <v>-99999901</v>
    <v>329.45</v>
    <v>320.75</v>
    <v>317.60000000000002</v>
    <v>322.60000000000002</v>
    <v>325.14999999999998</v>
    <v>325.3</v>
    <v>322.85000000000002</v>
    <v>324.10000000000002</v>
    <v>320.60000000000002</v>
    <v>317.85000000000002</v>
    <v>324.05</v>
    <v>343.9</v>
    <v>352</v>
    <v>359.05</v>
    <v>354.8</v>
    <v>360.4</v>
    <v>356.45</v>
    <v>359.55</v>
    <v>360.35</v>
    <v>373.1</v>
    <v>377.8</v>
    <v>372.8</v>
    <v>373.45</v>
    <v>377.95</v>
    <v>387.35</v>
    <v>386.9</v>
    <v>401.05</v>
    <v>394.35</v>
    <v>411.7</v>
    <v>426.1</v>
    <v>408.75</v>
    <v>408.65</v>
    <v>409.5</v>
    <v>409.65</v>
    <v>415.5</v>
    <v>427.75</v>
    <v>442.25</v>
    <v>426.45</v>
    <v>432.65</v>
    <v>435.75</v>
    <v>435.2</v>
    <v>431.55</v>
    <v>424.9</v>
    <v>424.15</v>
    <v>433.75</v>
    <v>438.5</v>
    <v>441.4</v>
    <v>432.45</v>
    <v>434.85</v>
    <v>444.9</v>
    <v>449.2</v>
    <v>443.9</v>
    <v>467.95</v>
    <v>470.2</v>
    <v>458.5</v>
    <v>441.3</v>
    <v>443.55</v>
    <v>457.95</v>
    <v>458.45</v>
    <v>455.9</v>
    <v>458.25</v>
    <v>466.8</v>
    <v>472.55</v>
    <v>487.2</v>
    <v>498.15</v>
    <v>483.75</v>
    <v>479.05</v>
    <v>489.75</v>
    <v>488.8</v>
    <v>474.5</v>
    <v>472.9</v>
  </a>
  <a r="1" c="239">
    <v>3257.7</v>
    <v>3225.9</v>
    <v>3209.5</v>
    <v>3163.85</v>
    <v>3197.3</v>
    <v>3213</v>
    <v>3239.65</v>
    <v>3259.9</v>
    <v>3244.7</v>
    <v>3177.7</v>
    <v>3195.45</v>
    <v>3193.65</v>
    <v>3187.3</v>
    <v>3173.45</v>
    <v>3270.7</v>
    <v>3319.55</v>
    <v>3351.05</v>
    <v>3415.95</v>
    <v>3481.85</v>
    <v>3469.6</v>
    <v>3444.8</v>
    <v>3501.6</v>
    <v>3492.3</v>
    <v>3436.8</v>
    <v>3419.9</v>
    <v>3420.15</v>
    <v>3260.15</v>
    <v>3068.5</v>
    <v>3161.1</v>
    <v>3054.15</v>
    <v>3115.95</v>
    <v>3257.6</v>
    <v>3227.7</v>
    <v>3247.3</v>
    <v>3280.5</v>
    <v>3257.8</v>
    <v>3301</v>
    <v>3300.6</v>
    <v>3272.1</v>
    <v>3327.3</v>
    <v>3322.3</v>
    <v>3341</v>
    <v>3329.8</v>
    <v>3330.2</v>
    <v>3334</v>
    <v>3321.4</v>
    <v>3323.9</v>
    <v>3443.9</v>
    <v>3587.2</v>
    <v>3567</v>
    <v>3573.1</v>
    <v>3618.2</v>
    <v>3604.7</v>
    <v>3600.2</v>
    <v>3567.8</v>
    <v>3589</v>
    <v>3551.4</v>
    <v>3599.9</v>
    <v>3648.7</v>
    <v>3640</v>
    <v>3646.3</v>
    <v>3655.3</v>
    <v>3675.1</v>
    <v>3679.6</v>
    <v>3644.8</v>
    <v>3626.5</v>
    <v>3642.6</v>
    <v>3656.3</v>
    <v>3678.9</v>
    <v>3679.8</v>
    <v>3684.8</v>
    <v>3603.9</v>
    <v>3587.4</v>
    <v>3628.7</v>
    <v>3622.3</v>
    <v>3601.5</v>
    <v>3621.1</v>
    <v>3662</v>
    <v>3583.7</v>
    <v>3604.8</v>
    <v>3619.8</v>
    <v>3659.6</v>
    <v>3679.2</v>
    <v>3669.8</v>
    <v>3666.7</v>
    <v>3596.8</v>
    <v>3582.9</v>
    <v>3594.6</v>
    <v>3581.4</v>
    <v>3606.4</v>
    <v>3579.7</v>
    <v>3574.7</v>
    <v>3540.6</v>
    <v>3495.9</v>
    <v>3494</v>
    <v>3503.8</v>
    <v>3474</v>
    <v>3464.8</v>
    <v>3502.8</v>
    <v>3464.6</v>
    <v>3484.9</v>
    <v>3477.5</v>
    <v>3442.9</v>
    <v>3422.2</v>
    <v>3495.6</v>
    <v>3665.1</v>
    <v>3636.5</v>
    <v>3587.3</v>
    <v>3631.1</v>
    <v>3652.6</v>
    <v>3628.4</v>
    <v>3641.6</v>
    <v>3607.6</v>
    <v>3668.4</v>
    <v>3686.1</v>
    <v>3693.7</v>
    <v>3677</v>
    <v>3635.1</v>
    <v>3613</v>
    <v>3592.3</v>
    <v>3612.6</v>
    <v>3595.8</v>
    <v>3603.1</v>
    <v>3541.3</v>
    <v>3560.1</v>
    <v>3601</v>
    <v>3598.4</v>
    <v>3574.9</v>
    <v>3600.8</v>
    <v>3592.6</v>
    <v>3553.6</v>
    <v>3529.6</v>
    <v>3525</v>
    <v>3550</v>
    <v>3539.7</v>
    <v>3579.8</v>
    <v>3586.2</v>
    <v>3667.8</v>
    <v>3685.5</v>
    <v>3686</v>
    <v>3675.4</v>
    <v>3644.5</v>
    <v>3657.6</v>
    <v>3673.8</v>
    <v>3644.4</v>
    <v>3729.5</v>
    <v>3688.4</v>
    <v>3659</v>
    <v>3670.3</v>
    <v>3733.1</v>
    <v>3737</v>
    <v>3729.7</v>
    <v>3729.8</v>
    <v>3769.2</v>
    <v>3784</v>
    <v>3769.5</v>
    <v>3744.3</v>
    <v>3828.7</v>
    <v>3861.8</v>
    <v>3839.4</v>
    <v>3872.7</v>
    <v>3888.2</v>
    <v>3918.7</v>
    <v>3904.9</v>
    <v>3923.8</v>
    <v>3972.8</v>
    <v>3958.1</v>
    <v>3987.5</v>
    <v>4030.9</v>
    <v>3980.5</v>
    <v>3924.4</v>
    <v>3881.6</v>
    <v>3882.5</v>
    <v>3918.5</v>
    <v>3955</v>
    <v>3954.6</v>
    <v>4002.5</v>
    <v>4004.4</v>
    <v>4027.7</v>
    <v>3999.6</v>
    <v>4019.6</v>
    <v>4037.4</v>
    <v>4024.9</v>
    <v>4013.3</v>
    <v>3996.7</v>
    <v>4062</v>
    <v>4081.3</v>
    <v>4069.6</v>
    <v>4073.2</v>
    <v>4030.5</v>
    <v>3988</v>
    <v>3983.6</v>
    <v>4038.2</v>
    <v>3996.7</v>
    <v>3997.5</v>
    <v>3991.3</v>
    <v>4003.9</v>
    <v>4074.1</v>
    <v>4092.3</v>
    <v>4063.8</v>
    <v>4062.4</v>
    <v>4031.1</v>
    <v>4073.5</v>
    <v>4072.4</v>
    <v>4058.8</v>
    <v>4053.6</v>
    <v>4047.3</v>
    <v>4038.7</v>
    <v>4052</v>
    <v>4083.5</v>
    <v>4140.3999999999996</v>
    <v>4163.3999999999996</v>
    <v>4150.3999999999996</v>
    <v>4140.6000000000004</v>
    <v>4157</v>
    <v>4028.4</v>
    <v>4025.2</v>
    <v>4019</v>
    <v>3887.4</v>
    <v>3865.8</v>
    <v>3856.4</v>
    <v>3869.8</v>
    <v>3810.5</v>
    <v>3766.5</v>
    <v>3793.8</v>
    <v>3743.8</v>
    <v>3787.8</v>
    <v>3794</v>
    <v>3932.9</v>
    <v>3932.3</v>
    <v>3814</v>
    <v>3921.3</v>
    <v>4038.8</v>
    <v>4087.1</v>
    <v>4063.3</v>
    <v>4068.1</v>
    <v>4113.6000000000004</v>
    <v>4169</v>
    <v>4170.3999999999996</v>
  </a>
  <a r="1" c="14">
    <v>3743.8</v>
    <v>3787.8</v>
    <v>3794</v>
    <v>3932.9</v>
    <v>3932.3</v>
    <v>3814</v>
    <v>3921.3</v>
    <v>4038.8</v>
    <v>4087.1</v>
    <v>4063.3</v>
    <v>4068.1</v>
    <v>4113.6000000000004</v>
    <v>4169</v>
    <v>4170.3999999999996</v>
  </a>
  <a r="1" c="14">
    <v>3798</v>
    <v>3743.8</v>
    <v>3804.3</v>
    <v>3860</v>
    <v>3902.5</v>
    <v>3953</v>
    <v>3830.7</v>
    <v>4117</v>
    <v>4029</v>
    <v>4088</v>
    <v>4055</v>
    <v>4073.9</v>
    <v>4140</v>
    <v>4172.8999999999996</v>
  </a>
  <a r="1" c="14">
    <v>3799.4</v>
    <v>3815</v>
    <v>3828.2</v>
    <v>3960.9</v>
    <v>3942.4</v>
    <v>4042.8</v>
    <v>3934.8</v>
    <v>4122</v>
    <v>4107</v>
    <v>4088.5</v>
    <v>4078</v>
    <v>4124.7</v>
    <v>4174.6000000000004</v>
    <v>4187.7</v>
  </a>
  <a r="1" c="14">
    <v>3720.1</v>
    <v>3739</v>
    <v>3769.1</v>
    <v>3843.6</v>
    <v>3891.8</v>
    <v>3756</v>
    <v>3825</v>
    <v>4030.6</v>
    <v>4016.9</v>
    <v>4035.9</v>
    <v>4042.3</v>
    <v>4062.4</v>
    <v>4122.3999999999996</v>
    <v>4140.3</v>
  </a>
  <a r="1" c="14">
    <v>1898703</v>
    <v>2162193</v>
    <v>2111741</v>
    <v>4227139</v>
    <v>2208465</v>
    <v>2654727</v>
    <v>3034613</v>
    <v>3742190</v>
    <v>1403373</v>
    <v>1433240</v>
    <v>1630836</v>
    <v>1830267</v>
    <v>1890409</v>
    <v>1689489</v>
  </a>
  <a r="6">
    <v t="r">1968</v>
    <v t="r">1971</v>
    <v t="r">1763</v>
    <v t="e">#NULL!</v>
    <v t="e">#NULL!</v>
    <v t="i">1</v>
  </a>
</arrayData>
</file>

<file path=xl/richData/rdrichvalue.xml><?xml version="1.0" encoding="utf-8"?>
<rvData xmlns="http://schemas.microsoft.com/office/spreadsheetml/2017/richdata" count="2566">
  <rv s="0">
    <v>en-IN</v>
    <v>avyo8m</v>
    <v>268435456</v>
    <v>1</v>
    <v>Powered by Refinitiv</v>
    <v>0</v>
    <v>USD/INR</v>
    <v>2</v>
    <v>3</v>
    <v>Finance</v>
    <v>4</v>
    <v>92.212999999999994</v>
    <v>83.76</v>
    <v>-0.317</v>
    <v>-3.483E-3</v>
    <v>INR</v>
    <v>USD</v>
    <v>Currency Pair</v>
    <v>46073.916331018518</v>
    <v>US Dollar/Indian Rupee FX Spot Rate</v>
    <v>91.018000000000001</v>
    <v>90.700999999999993</v>
    <v>USDINR</v>
    <v>USD/INR</v>
  </rv>
  <rv s="1">
    <v>0</v>
  </rv>
  <rv s="2">
    <fb>45712</fb>
    <v>5</v>
  </rv>
  <rv s="2">
    <fb>45713</fb>
    <v>5</v>
  </rv>
  <rv s="2">
    <fb>45715</fb>
    <v>5</v>
  </rv>
  <rv s="2">
    <fb>45716</fb>
    <v>5</v>
  </rv>
  <rv s="2">
    <fb>45719</fb>
    <v>5</v>
  </rv>
  <rv s="2">
    <fb>45720</fb>
    <v>5</v>
  </rv>
  <rv s="2">
    <fb>45721</fb>
    <v>5</v>
  </rv>
  <rv s="2">
    <fb>45722</fb>
    <v>5</v>
  </rv>
  <rv s="2">
    <fb>45723</fb>
    <v>5</v>
  </rv>
  <rv s="2">
    <fb>45726</fb>
    <v>5</v>
  </rv>
  <rv s="2">
    <fb>45727</fb>
    <v>5</v>
  </rv>
  <rv s="2">
    <fb>45728</fb>
    <v>5</v>
  </rv>
  <rv s="2">
    <fb>45729</fb>
    <v>5</v>
  </rv>
  <rv s="2">
    <fb>45733</fb>
    <v>5</v>
  </rv>
  <rv s="2">
    <fb>45734</fb>
    <v>5</v>
  </rv>
  <rv s="2">
    <fb>45735</fb>
    <v>5</v>
  </rv>
  <rv s="2">
    <fb>45736</fb>
    <v>5</v>
  </rv>
  <rv s="2">
    <fb>45737</fb>
    <v>5</v>
  </rv>
  <rv s="2">
    <fb>45740</fb>
    <v>5</v>
  </rv>
  <rv s="2">
    <fb>45741</fb>
    <v>5</v>
  </rv>
  <rv s="2">
    <fb>45742</fb>
    <v>5</v>
  </rv>
  <rv s="2">
    <fb>45743</fb>
    <v>5</v>
  </rv>
  <rv s="2">
    <fb>45744</fb>
    <v>5</v>
  </rv>
  <rv s="2">
    <fb>45748</fb>
    <v>5</v>
  </rv>
  <rv s="2">
    <fb>45749</fb>
    <v>5</v>
  </rv>
  <rv s="2">
    <fb>45750</fb>
    <v>5</v>
  </rv>
  <rv s="2">
    <fb>45751</fb>
    <v>5</v>
  </rv>
  <rv s="2">
    <fb>45754</fb>
    <v>5</v>
  </rv>
  <rv s="2">
    <fb>45755</fb>
    <v>5</v>
  </rv>
  <rv s="2">
    <fb>45756</fb>
    <v>5</v>
  </rv>
  <rv s="2">
    <fb>45758</fb>
    <v>5</v>
  </rv>
  <rv s="2">
    <fb>45762</fb>
    <v>5</v>
  </rv>
  <rv s="2">
    <fb>45763</fb>
    <v>5</v>
  </rv>
  <rv s="2">
    <fb>45764</fb>
    <v>5</v>
  </rv>
  <rv s="2">
    <fb>45768</fb>
    <v>5</v>
  </rv>
  <rv s="2">
    <fb>45769</fb>
    <v>5</v>
  </rv>
  <rv s="2">
    <fb>45770</fb>
    <v>5</v>
  </rv>
  <rv s="2">
    <fb>45771</fb>
    <v>5</v>
  </rv>
  <rv s="2">
    <fb>45772</fb>
    <v>5</v>
  </rv>
  <rv s="2">
    <fb>45775</fb>
    <v>5</v>
  </rv>
  <rv s="2">
    <fb>45776</fb>
    <v>5</v>
  </rv>
  <rv s="2">
    <fb>45777</fb>
    <v>5</v>
  </rv>
  <rv s="2">
    <fb>45779</fb>
    <v>5</v>
  </rv>
  <rv s="2">
    <fb>45782</fb>
    <v>5</v>
  </rv>
  <rv s="2">
    <fb>45783</fb>
    <v>5</v>
  </rv>
  <rv s="2">
    <fb>45784</fb>
    <v>5</v>
  </rv>
  <rv s="2">
    <fb>45785</fb>
    <v>5</v>
  </rv>
  <rv s="2">
    <fb>45786</fb>
    <v>5</v>
  </rv>
  <rv s="2">
    <fb>45789</fb>
    <v>5</v>
  </rv>
  <rv s="2">
    <fb>45790</fb>
    <v>5</v>
  </rv>
  <rv s="2">
    <fb>45791</fb>
    <v>5</v>
  </rv>
  <rv s="2">
    <fb>45792</fb>
    <v>5</v>
  </rv>
  <rv s="2">
    <fb>45793</fb>
    <v>5</v>
  </rv>
  <rv s="2">
    <fb>45796</fb>
    <v>5</v>
  </rv>
  <rv s="2">
    <fb>45797</fb>
    <v>5</v>
  </rv>
  <rv s="2">
    <fb>45798</fb>
    <v>5</v>
  </rv>
  <rv s="2">
    <fb>45799</fb>
    <v>5</v>
  </rv>
  <rv s="2">
    <fb>45800</fb>
    <v>5</v>
  </rv>
  <rv s="2">
    <fb>45803</fb>
    <v>5</v>
  </rv>
  <rv s="2">
    <fb>45804</fb>
    <v>5</v>
  </rv>
  <rv s="2">
    <fb>45805</fb>
    <v>5</v>
  </rv>
  <rv s="2">
    <fb>45806</fb>
    <v>5</v>
  </rv>
  <rv s="2">
    <fb>45807</fb>
    <v>5</v>
  </rv>
  <rv s="2">
    <fb>45810</fb>
    <v>5</v>
  </rv>
  <rv s="2">
    <fb>45811</fb>
    <v>5</v>
  </rv>
  <rv s="2">
    <fb>45812</fb>
    <v>5</v>
  </rv>
  <rv s="2">
    <fb>45813</fb>
    <v>5</v>
  </rv>
  <rv s="2">
    <fb>45814</fb>
    <v>5</v>
  </rv>
  <rv s="2">
    <fb>45817</fb>
    <v>5</v>
  </rv>
  <rv s="2">
    <fb>45818</fb>
    <v>5</v>
  </rv>
  <rv s="2">
    <fb>45819</fb>
    <v>5</v>
  </rv>
  <rv s="2">
    <fb>45820</fb>
    <v>5</v>
  </rv>
  <rv s="2">
    <fb>45821</fb>
    <v>5</v>
  </rv>
  <rv s="2">
    <fb>45824</fb>
    <v>5</v>
  </rv>
  <rv s="2">
    <fb>45825</fb>
    <v>5</v>
  </rv>
  <rv s="2">
    <fb>45826</fb>
    <v>5</v>
  </rv>
  <rv s="2">
    <fb>45827</fb>
    <v>5</v>
  </rv>
  <rv s="2">
    <fb>45828</fb>
    <v>5</v>
  </rv>
  <rv s="2">
    <fb>45831</fb>
    <v>5</v>
  </rv>
  <rv s="2">
    <fb>45832</fb>
    <v>5</v>
  </rv>
  <rv s="2">
    <fb>45833</fb>
    <v>5</v>
  </rv>
  <rv s="2">
    <fb>45834</fb>
    <v>5</v>
  </rv>
  <rv s="2">
    <fb>45835</fb>
    <v>5</v>
  </rv>
  <rv s="2">
    <fb>45838</fb>
    <v>5</v>
  </rv>
  <rv s="2">
    <fb>45839</fb>
    <v>5</v>
  </rv>
  <rv s="2">
    <fb>45840</fb>
    <v>5</v>
  </rv>
  <rv s="2">
    <fb>45841</fb>
    <v>5</v>
  </rv>
  <rv s="2">
    <fb>45842</fb>
    <v>5</v>
  </rv>
  <rv s="2">
    <fb>45845</fb>
    <v>5</v>
  </rv>
  <rv s="2">
    <fb>45846</fb>
    <v>5</v>
  </rv>
  <rv s="2">
    <fb>45847</fb>
    <v>5</v>
  </rv>
  <rv s="2">
    <fb>45848</fb>
    <v>5</v>
  </rv>
  <rv s="2">
    <fb>45849</fb>
    <v>5</v>
  </rv>
  <rv s="2">
    <fb>45852</fb>
    <v>5</v>
  </rv>
  <rv s="2">
    <fb>45853</fb>
    <v>5</v>
  </rv>
  <rv s="2">
    <fb>45854</fb>
    <v>5</v>
  </rv>
  <rv s="2">
    <fb>45855</fb>
    <v>5</v>
  </rv>
  <rv s="2">
    <fb>45856</fb>
    <v>5</v>
  </rv>
  <rv s="2">
    <fb>45859</fb>
    <v>5</v>
  </rv>
  <rv s="2">
    <fb>45860</fb>
    <v>5</v>
  </rv>
  <rv s="2">
    <fb>45861</fb>
    <v>5</v>
  </rv>
  <rv s="2">
    <fb>45862</fb>
    <v>5</v>
  </rv>
  <rv s="2">
    <fb>45863</fb>
    <v>5</v>
  </rv>
  <rv s="2">
    <fb>45866</fb>
    <v>5</v>
  </rv>
  <rv s="2">
    <fb>45867</fb>
    <v>5</v>
  </rv>
  <rv s="2">
    <fb>45868</fb>
    <v>5</v>
  </rv>
  <rv s="2">
    <fb>45869</fb>
    <v>5</v>
  </rv>
  <rv s="2">
    <fb>45870</fb>
    <v>5</v>
  </rv>
  <rv s="2">
    <fb>45873</fb>
    <v>5</v>
  </rv>
  <rv s="2">
    <fb>45874</fb>
    <v>5</v>
  </rv>
  <rv s="2">
    <fb>45875</fb>
    <v>5</v>
  </rv>
  <rv s="2">
    <fb>45876</fb>
    <v>5</v>
  </rv>
  <rv s="2">
    <fb>45877</fb>
    <v>5</v>
  </rv>
  <rv s="2">
    <fb>45880</fb>
    <v>5</v>
  </rv>
  <rv s="2">
    <fb>45881</fb>
    <v>5</v>
  </rv>
  <rv s="2">
    <fb>45882</fb>
    <v>5</v>
  </rv>
  <rv s="2">
    <fb>45883</fb>
    <v>5</v>
  </rv>
  <rv s="2">
    <fb>45887</fb>
    <v>5</v>
  </rv>
  <rv s="2">
    <fb>45888</fb>
    <v>5</v>
  </rv>
  <rv s="2">
    <fb>45889</fb>
    <v>5</v>
  </rv>
  <rv s="2">
    <fb>45890</fb>
    <v>5</v>
  </rv>
  <rv s="2">
    <fb>45891</fb>
    <v>5</v>
  </rv>
  <rv s="2">
    <fb>45894</fb>
    <v>5</v>
  </rv>
  <rv s="2">
    <fb>45895</fb>
    <v>5</v>
  </rv>
  <rv s="2">
    <fb>45897</fb>
    <v>5</v>
  </rv>
  <rv s="2">
    <fb>45898</fb>
    <v>5</v>
  </rv>
  <rv s="2">
    <fb>45901</fb>
    <v>5</v>
  </rv>
  <rv s="2">
    <fb>45902</fb>
    <v>5</v>
  </rv>
  <rv s="2">
    <fb>45903</fb>
    <v>5</v>
  </rv>
  <rv s="2">
    <fb>45904</fb>
    <v>5</v>
  </rv>
  <rv s="2">
    <fb>45905</fb>
    <v>5</v>
  </rv>
  <rv s="2">
    <fb>45908</fb>
    <v>5</v>
  </rv>
  <rv s="2">
    <fb>45909</fb>
    <v>5</v>
  </rv>
  <rv s="2">
    <fb>45910</fb>
    <v>5</v>
  </rv>
  <rv s="2">
    <fb>45911</fb>
    <v>5</v>
  </rv>
  <rv s="2">
    <fb>45912</fb>
    <v>5</v>
  </rv>
  <rv s="2">
    <fb>45915</fb>
    <v>5</v>
  </rv>
  <rv s="2">
    <fb>45916</fb>
    <v>5</v>
  </rv>
  <rv s="2">
    <fb>45917</fb>
    <v>5</v>
  </rv>
  <rv s="2">
    <fb>45918</fb>
    <v>5</v>
  </rv>
  <rv s="2">
    <fb>45919</fb>
    <v>5</v>
  </rv>
  <rv s="2">
    <fb>45922</fb>
    <v>5</v>
  </rv>
  <rv s="2">
    <fb>45923</fb>
    <v>5</v>
  </rv>
  <rv s="2">
    <fb>45924</fb>
    <v>5</v>
  </rv>
  <rv s="2">
    <fb>45925</fb>
    <v>5</v>
  </rv>
  <rv s="2">
    <fb>45926</fb>
    <v>5</v>
  </rv>
  <rv s="2">
    <fb>45929</fb>
    <v>5</v>
  </rv>
  <rv s="2">
    <fb>45930</fb>
    <v>5</v>
  </rv>
  <rv s="2">
    <fb>45931</fb>
    <v>5</v>
  </rv>
  <rv s="2">
    <fb>45933</fb>
    <v>5</v>
  </rv>
  <rv s="2">
    <fb>45936</fb>
    <v>5</v>
  </rv>
  <rv s="2">
    <fb>45937</fb>
    <v>5</v>
  </rv>
  <rv s="2">
    <fb>45938</fb>
    <v>5</v>
  </rv>
  <rv s="2">
    <fb>45939</fb>
    <v>5</v>
  </rv>
  <rv s="2">
    <fb>45940</fb>
    <v>5</v>
  </rv>
  <rv s="2">
    <fb>45943</fb>
    <v>5</v>
  </rv>
  <rv s="2">
    <fb>45944</fb>
    <v>5</v>
  </rv>
  <rv s="2">
    <fb>45945</fb>
    <v>5</v>
  </rv>
  <rv s="2">
    <fb>45946</fb>
    <v>5</v>
  </rv>
  <rv s="2">
    <fb>45947</fb>
    <v>5</v>
  </rv>
  <rv s="2">
    <fb>45950</fb>
    <v>5</v>
  </rv>
  <rv s="2">
    <fb>45951</fb>
    <v>5</v>
  </rv>
  <rv s="2">
    <fb>45953</fb>
    <v>5</v>
  </rv>
  <rv s="2">
    <fb>45954</fb>
    <v>5</v>
  </rv>
  <rv s="2">
    <fb>45957</fb>
    <v>5</v>
  </rv>
  <rv s="2">
    <fb>45958</fb>
    <v>5</v>
  </rv>
  <rv s="2">
    <fb>45959</fb>
    <v>5</v>
  </rv>
  <rv s="2">
    <fb>45960</fb>
    <v>5</v>
  </rv>
  <rv s="2">
    <fb>45961</fb>
    <v>5</v>
  </rv>
  <rv s="2">
    <fb>45964</fb>
    <v>5</v>
  </rv>
  <rv s="2">
    <fb>45965</fb>
    <v>5</v>
  </rv>
  <rv s="2">
    <fb>45967</fb>
    <v>5</v>
  </rv>
  <rv s="2">
    <fb>45968</fb>
    <v>5</v>
  </rv>
  <rv s="2">
    <fb>45971</fb>
    <v>5</v>
  </rv>
  <rv s="2">
    <fb>45972</fb>
    <v>5</v>
  </rv>
  <rv s="2">
    <fb>45973</fb>
    <v>5</v>
  </rv>
  <rv s="2">
    <fb>45974</fb>
    <v>5</v>
  </rv>
  <rv s="2">
    <fb>45975</fb>
    <v>5</v>
  </rv>
  <rv s="2">
    <fb>45978</fb>
    <v>5</v>
  </rv>
  <rv s="2">
    <fb>45979</fb>
    <v>5</v>
  </rv>
  <rv s="2">
    <fb>45980</fb>
    <v>5</v>
  </rv>
  <rv s="2">
    <fb>45981</fb>
    <v>5</v>
  </rv>
  <rv s="2">
    <fb>45982</fb>
    <v>5</v>
  </rv>
  <rv s="2">
    <fb>45985</fb>
    <v>5</v>
  </rv>
  <rv s="2">
    <fb>45986</fb>
    <v>5</v>
  </rv>
  <rv s="2">
    <fb>45987</fb>
    <v>5</v>
  </rv>
  <rv s="2">
    <fb>45988</fb>
    <v>5</v>
  </rv>
  <rv s="2">
    <fb>45989</fb>
    <v>5</v>
  </rv>
  <rv s="2">
    <fb>45992</fb>
    <v>5</v>
  </rv>
  <rv s="2">
    <fb>45993</fb>
    <v>5</v>
  </rv>
  <rv s="2">
    <fb>45994</fb>
    <v>5</v>
  </rv>
  <rv s="2">
    <fb>45995</fb>
    <v>5</v>
  </rv>
  <rv s="2">
    <fb>45996</fb>
    <v>5</v>
  </rv>
  <rv s="2">
    <fb>45999</fb>
    <v>5</v>
  </rv>
  <rv s="2">
    <fb>46000</fb>
    <v>5</v>
  </rv>
  <rv s="2">
    <fb>46001</fb>
    <v>5</v>
  </rv>
  <rv s="2">
    <fb>46002</fb>
    <v>5</v>
  </rv>
  <rv s="2">
    <fb>46003</fb>
    <v>5</v>
  </rv>
  <rv s="2">
    <fb>46006</fb>
    <v>5</v>
  </rv>
  <rv s="2">
    <fb>46007</fb>
    <v>5</v>
  </rv>
  <rv s="2">
    <fb>46008</fb>
    <v>5</v>
  </rv>
  <rv s="2">
    <fb>46009</fb>
    <v>5</v>
  </rv>
  <rv s="2">
    <fb>46010</fb>
    <v>5</v>
  </rv>
  <rv s="2">
    <fb>46013</fb>
    <v>5</v>
  </rv>
  <rv s="2">
    <fb>46014</fb>
    <v>5</v>
  </rv>
  <rv s="2">
    <fb>46015</fb>
    <v>5</v>
  </rv>
  <rv s="2">
    <fb>46017</fb>
    <v>5</v>
  </rv>
  <rv s="2">
    <fb>46020</fb>
    <v>5</v>
  </rv>
  <rv s="2">
    <fb>46021</fb>
    <v>5</v>
  </rv>
  <rv s="2">
    <fb>46022</fb>
    <v>5</v>
  </rv>
  <rv s="2">
    <fb>46023</fb>
    <v>5</v>
  </rv>
  <rv s="2">
    <fb>46024</fb>
    <v>5</v>
  </rv>
  <rv s="2">
    <fb>46027</fb>
    <v>5</v>
  </rv>
  <rv s="2">
    <fb>46028</fb>
    <v>5</v>
  </rv>
  <rv s="2">
    <fb>46029</fb>
    <v>5</v>
  </rv>
  <rv s="2">
    <fb>46030</fb>
    <v>5</v>
  </rv>
  <rv s="2">
    <fb>46031</fb>
    <v>5</v>
  </rv>
  <rv s="2">
    <fb>46034</fb>
    <v>5</v>
  </rv>
  <rv s="2">
    <fb>46035</fb>
    <v>5</v>
  </rv>
  <rv s="2">
    <fb>46036</fb>
    <v>5</v>
  </rv>
  <rv s="2">
    <fb>46038</fb>
    <v>5</v>
  </rv>
  <rv s="2">
    <fb>46041</fb>
    <v>5</v>
  </rv>
  <rv s="2">
    <fb>46042</fb>
    <v>5</v>
  </rv>
  <rv s="2">
    <fb>46043</fb>
    <v>5</v>
  </rv>
  <rv s="2">
    <fb>46044</fb>
    <v>5</v>
  </rv>
  <rv s="2">
    <fb>46045</fb>
    <v>5</v>
  </rv>
  <rv s="2">
    <fb>46049</fb>
    <v>5</v>
  </rv>
  <rv s="2">
    <fb>46050</fb>
    <v>5</v>
  </rv>
  <rv s="2">
    <fb>46051</fb>
    <v>5</v>
  </rv>
  <rv s="2">
    <fb>46052</fb>
    <v>5</v>
  </rv>
  <rv s="2">
    <fb>46054</fb>
    <v>5</v>
  </rv>
  <rv s="2">
    <fb>46055</fb>
    <v>5</v>
  </rv>
  <rv s="2">
    <fb>46056</fb>
    <v>5</v>
  </rv>
  <rv s="2">
    <fb>46057</fb>
    <v>5</v>
  </rv>
  <rv s="2">
    <fb>46058</fb>
    <v>5</v>
  </rv>
  <rv s="2">
    <fb>46059</fb>
    <v>5</v>
  </rv>
  <rv s="2">
    <fb>46062</fb>
    <v>5</v>
  </rv>
  <rv s="2">
    <fb>46063</fb>
    <v>5</v>
  </rv>
  <rv s="2">
    <fb>46064</fb>
    <v>5</v>
  </rv>
  <rv s="2">
    <fb>46065</fb>
    <v>5</v>
  </rv>
  <rv s="2">
    <fb>46066</fb>
    <v>5</v>
  </rv>
  <rv s="2">
    <fb>46069</fb>
    <v>5</v>
  </rv>
  <rv s="2">
    <fb>46070</fb>
    <v>5</v>
  </rv>
  <rv s="2">
    <fb>46071</fb>
    <v>5</v>
  </rv>
  <rv s="2">
    <fb>46072</fb>
    <v>5</v>
  </rv>
  <rv s="2">
    <fb>46073</fb>
    <v>5</v>
  </rv>
  <rv s="3">
    <v>https://www.bing.com/financeapi/forcetrigger?t=ah82oc&amp;q=XBOM%3a500325&amp;form=skydnc</v>
    <v>Learn more on Bing</v>
  </rv>
  <rv s="4">
    <v>en-IN</v>
    <v>ah82oc</v>
    <v>268435456</v>
    <v>1</v>
    <v>Powered by Refinitiv</v>
    <v>6</v>
    <v>RELIANCE INDUSTRIES LIMITED (XBOM:500325)</v>
    <v>7</v>
    <v>8</v>
    <v>Finance</v>
    <v>9</v>
    <v>1611.2</v>
    <v>1115.55</v>
    <v>1.181</v>
    <v>9.25</v>
    <v>6.5569999999999995E-3</v>
    <v>INR</v>
    <v>Reliance Industries Limited is engaged in the activities of hydrocarbon exploration and production, petroleum refining and marketing, petrochemicals, advanced materials and composites, renewables, retail and digital services. The Company’s segments include Oil to Chemicals (O2C), Oil and Gas, Retail, and Digital Services. The O2C segment covers refining, petrochemicals, fuel retailing, aviation fuel, and bulk wholesale marketing, with a portfolio that includes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 also operates an oncology-focused healthcare platform, which focuses on technology-driven cancer care. Its subsidiaries include 7-India Convenience Retail Limited, Amante India Limited, Cover Story Clothing Limited, and others.</v>
    <v>403303</v>
    <v>Bombay Stock Exchange</v>
    <v>XBOM</v>
    <v>XBOM</v>
    <v>Maker Chambers IV, Nariman Point, MUMBAI, MAHARASHTRA, 400021 IN</v>
    <v>1427.75</v>
    <v>Oil &amp; Gas</v>
    <v>Stock</v>
    <v>46073.687777777777</v>
    <v>248</v>
    <v>1406.85</v>
    <v>19659980000000</v>
    <v>RELIANCE INDUSTRIES LIMITED</v>
    <v>RELIANCE INDUSTRIES LIMITED</v>
    <v>1410</v>
    <v>22.94</v>
    <v>1410.8</v>
    <v>1420.05</v>
    <v>13532740000</v>
    <v>500325</v>
    <v>RELIANCE INDUSTRIES LIMITED (XBOM:500325)</v>
    <v>357252</v>
    <v>8734470</v>
    <v>1973</v>
  </rv>
  <rv s="1">
    <v>249</v>
  </rv>
  <rv s="2">
    <fb>1214.75</fb>
    <v>10</v>
  </rv>
  <rv s="2">
    <fb>1203.9000000000001</fb>
    <v>10</v>
  </rv>
  <rv s="2">
    <fb>1207.05</fb>
    <v>10</v>
  </rv>
  <rv s="2">
    <fb>1199.5999999999999</fb>
    <v>10</v>
  </rv>
  <rv s="2">
    <fb>1171.0999999999999</fb>
    <v>10</v>
  </rv>
  <rv s="2">
    <fb>1161.7</fb>
    <v>10</v>
  </rv>
  <rv s="2">
    <fb>1175.75</fb>
    <v>10</v>
  </rv>
  <rv s="2">
    <fb>1210.55</fb>
    <v>10</v>
  </rv>
  <rv s="2">
    <fb>1249.0999999999999</fb>
    <v>10</v>
  </rv>
  <rv s="2">
    <fb>1238.2</fb>
    <v>10</v>
  </rv>
  <rv s="2">
    <fb>1247.4000000000001</fb>
    <v>10</v>
  </rv>
  <rv s="2">
    <fb>1256.5999999999999</fb>
    <v>10</v>
  </rv>
  <rv s="2">
    <fb>1240.4000000000001</fb>
    <v>10</v>
  </rv>
  <rv s="2">
    <fb>1238.8</fb>
    <v>10</v>
  </rv>
  <rv s="2">
    <fb>1247.7</fb>
    <v>10</v>
  </rv>
  <rv s="2">
    <fb>1268.55</fb>
    <v>10</v>
  </rv>
  <rv s="2">
    <fb>1276.45</fb>
    <v>10</v>
  </rv>
  <rv s="2">
    <fb>1301.3499999999999</fb>
    <v>10</v>
  </rv>
  <rv s="2">
    <fb>1285.4000000000001</fb>
    <v>10</v>
  </rv>
  <rv s="2">
    <fb>1272.55</fb>
    <v>10</v>
  </rv>
  <rv s="2">
    <fb>1278.4000000000001</fb>
    <v>10</v>
  </rv>
  <rv s="2">
    <fb>1275</fb>
    <v>10</v>
  </rv>
  <rv s="2">
    <fb>1252.45</fb>
    <v>10</v>
  </rv>
  <rv s="2">
    <fb>1251.0999999999999</fb>
    <v>10</v>
  </rv>
  <rv s="2">
    <fb>1248.5999999999999</fb>
    <v>10</v>
  </rv>
  <rv s="2">
    <fb>1204.7</fb>
    <v>10</v>
  </rv>
  <rv s="2">
    <fb>1166.2</fb>
    <v>10</v>
  </rv>
  <rv s="2">
    <fb>1182.4000000000001</fb>
    <v>10</v>
  </rv>
  <rv s="2">
    <fb>1185.5999999999999</fb>
    <v>10</v>
  </rv>
  <rv s="2">
    <fb>1219.3</fb>
    <v>10</v>
  </rv>
  <rv s="2">
    <fb>1239.9000000000001</fb>
    <v>10</v>
  </rv>
  <rv s="2">
    <fb>1238.6500000000001</fb>
    <v>10</v>
  </rv>
  <rv s="2">
    <fb>1274.55</fb>
    <v>10</v>
  </rv>
  <rv s="2">
    <fb>1295.8499999999999</fb>
    <v>10</v>
  </rv>
  <rv s="2">
    <fb>1290.95</fb>
    <v>10</v>
  </rv>
  <rv s="2">
    <fb>1299.9000000000001</fb>
    <v>10</v>
  </rv>
  <rv s="2">
    <fb>1301.6500000000001</fb>
    <v>10</v>
  </rv>
  <rv s="2">
    <fb>1300.05</fb>
    <v>10</v>
  </rv>
  <rv s="2">
    <fb>1368.5</fb>
    <v>10</v>
  </rv>
  <rv s="2">
    <fb>1400.3</fb>
    <v>10</v>
  </rv>
  <rv s="2">
    <fb>1408.35</fb>
    <v>10</v>
  </rv>
  <rv s="2">
    <fb>1421.95</fb>
    <v>10</v>
  </rv>
  <rv s="2">
    <fb>1431.1</fb>
    <v>10</v>
  </rv>
  <rv s="2">
    <fb>1420.55</fb>
    <v>10</v>
  </rv>
  <rv s="2">
    <fb>1406</fb>
    <v>10</v>
  </rv>
  <rv s="2">
    <fb>1404.85</fb>
    <v>10</v>
  </rv>
  <rv s="2">
    <fb>1377.75</fb>
    <v>10</v>
  </rv>
  <rv s="2">
    <fb>1436.55</fb>
    <v>10</v>
  </rv>
  <rv s="2">
    <fb>1416.2</fb>
    <v>10</v>
  </rv>
  <rv s="2">
    <fb>1424.25</fb>
    <v>10</v>
  </rv>
  <rv s="2">
    <fb>1453.8</fb>
    <v>10</v>
  </rv>
  <rv s="2">
    <fb>1456.6</fb>
    <v>10</v>
  </rv>
  <rv s="2">
    <fb>1441.65</fb>
    <v>10</v>
  </rv>
  <rv s="2">
    <fb>1425.3</fb>
    <v>10</v>
  </rv>
  <rv s="2">
    <fb>1428.9</fb>
    <v>10</v>
  </rv>
  <rv s="2">
    <fb>1409.4</fb>
    <v>10</v>
  </rv>
  <rv s="2">
    <fb>1426.45</fb>
    <v>10</v>
  </rv>
  <rv s="2">
    <fb>1434.15</fb>
    <v>10</v>
  </rv>
  <rv s="2">
    <fb>1421.75</fb>
    <v>10</v>
  </rv>
  <rv s="2">
    <fb>1411.15</fb>
    <v>10</v>
  </rv>
  <rv s="2">
    <fb>1417.4</fb>
    <v>10</v>
  </rv>
  <rv s="2">
    <fb>1420.8</fb>
    <v>10</v>
  </rv>
  <rv s="2">
    <fb>1414.45</fb>
    <v>10</v>
  </rv>
  <rv s="2">
    <fb>1405.95</fb>
    <v>10</v>
  </rv>
  <rv s="2">
    <fb>1423.2</fb>
    <v>10</v>
  </rv>
  <rv s="2">
    <fb>1442.65</fb>
    <v>10</v>
  </rv>
  <rv s="2">
    <fb>1443.55</fb>
    <v>10</v>
  </rv>
  <rv s="2">
    <fb>1448.6</fb>
    <v>10</v>
  </rv>
  <rv s="2">
    <fb>1438.6</fb>
    <v>10</v>
  </rv>
  <rv s="2">
    <fb>1448.75</fb>
    <v>10</v>
  </rv>
  <rv s="2">
    <fb>1439.6</fb>
    <v>10</v>
  </rv>
  <rv s="2">
    <fb>1427.65</fb>
    <v>10</v>
  </rv>
  <rv s="2">
    <fb>1438.55</fb>
    <v>10</v>
  </rv>
  <rv s="2">
    <fb>1431.3</fb>
    <v>10</v>
  </rv>
  <rv s="2">
    <fb>1429.85</fb>
    <v>10</v>
  </rv>
  <rv s="2">
    <fb>1433.65</fb>
    <v>10</v>
  </rv>
  <rv s="2">
    <fb>1464.65</fb>
    <v>10</v>
  </rv>
  <rv s="2">
    <fb>1456.35</fb>
    <v>10</v>
  </rv>
  <rv s="2">
    <fb>1450.05</fb>
    <v>10</v>
  </rv>
  <rv s="2">
    <fb>1467.25</fb>
    <v>10</v>
  </rv>
  <rv s="2">
    <fb>1495.2</fb>
    <v>10</v>
  </rv>
  <rv s="2">
    <fb>1516.05</fb>
    <v>10</v>
  </rv>
  <rv s="2">
    <fb>1500.65</fb>
    <v>10</v>
  </rv>
  <rv s="2">
    <fb>1528.3</fb>
    <v>10</v>
  </rv>
  <rv s="2">
    <fb>1518.25</fb>
    <v>10</v>
  </rv>
  <rv s="2">
    <fb>1518.95</fb>
    <v>10</v>
  </rv>
  <rv s="2">
    <fb>1527.4</fb>
    <v>10</v>
  </rv>
  <rv s="2">
    <fb>1541.2</fb>
    <v>10</v>
  </rv>
  <rv s="2">
    <fb>1538.8</fb>
    <v>10</v>
  </rv>
  <rv s="2">
    <fb>1519.05</fb>
    <v>10</v>
  </rv>
  <rv s="2">
    <fb>1517.2</fb>
    <v>10</v>
  </rv>
  <rv s="2">
    <fb>1494.85</fb>
    <v>10</v>
  </rv>
  <rv s="2">
    <fb>1484.6</fb>
    <v>10</v>
  </rv>
  <rv s="2">
    <fb>1484.9</fb>
    <v>10</v>
  </rv>
  <rv s="2">
    <fb>1485.75</fb>
    <v>10</v>
  </rv>
  <rv s="2">
    <fb>1477.1</fb>
    <v>10</v>
  </rv>
  <rv s="2">
    <fb>1476.85</fb>
    <v>10</v>
  </rv>
  <rv s="2">
    <fb>1428.2</fb>
    <v>10</v>
  </rv>
  <rv s="2">
    <fb>1412.8</fb>
    <v>10</v>
  </rv>
  <rv s="2">
    <fb>1424.5</fb>
    <v>10</v>
  </rv>
  <rv s="2">
    <fb>1402.65</fb>
    <v>10</v>
  </rv>
  <rv s="2">
    <fb>1392.1</fb>
    <v>10</v>
  </rv>
  <rv s="2">
    <fb>1387.3</fb>
    <v>10</v>
  </rv>
  <rv s="2">
    <fb>1417.95</fb>
    <v>10</v>
  </rv>
  <rv s="2">
    <fb>1409.9</fb>
    <v>10</v>
  </rv>
  <rv s="2">
    <fb>1390.3</fb>
    <v>10</v>
  </rv>
  <rv s="2">
    <fb>1393.6</fb>
    <v>10</v>
  </rv>
  <rv s="2">
    <fb>1411.3</fb>
    <v>10</v>
  </rv>
  <rv s="2">
    <fb>1391.6</fb>
    <v>10</v>
  </rv>
  <rv s="2">
    <fb>1392.95</fb>
    <v>10</v>
  </rv>
  <rv s="2">
    <fb>1390.85</fb>
    <v>10</v>
  </rv>
  <rv s="2">
    <fb>1367.95</fb>
    <v>10</v>
  </rv>
  <rv s="2">
    <fb>1386.8</fb>
    <v>10</v>
  </rv>
  <rv s="2">
    <fb>1380.4</fb>
    <v>10</v>
  </rv>
  <rv s="2">
    <fb>1382.65</fb>
    <v>10</v>
  </rv>
  <rv s="2">
    <fb>1373.75</fb>
    <v>10</v>
  </rv>
  <rv s="2">
    <fb>1380.95</fb>
    <v>10</v>
  </rv>
  <rv s="2">
    <fb>1419.95</fb>
    <v>10</v>
  </rv>
  <rv s="2">
    <fb>1412.45</fb>
    <v>10</v>
  </rv>
  <rv s="2">
    <fb>1424.65</fb>
    <v>10</v>
  </rv>
  <rv s="2">
    <fb>1409.3</fb>
    <v>10</v>
  </rv>
  <rv s="2">
    <fb>1412.9</fb>
    <v>10</v>
  </rv>
  <rv s="2">
    <fb>1385.3</fb>
    <v>10</v>
  </rv>
  <rv s="2">
    <fb>1387.65</fb>
    <v>10</v>
  </rv>
  <rv s="2">
    <fb>1357.05</fb>
    <v>10</v>
  </rv>
  <rv s="2">
    <fb>1353.85</fb>
    <v>10</v>
  </rv>
  <rv s="2">
    <fb>1366.3</fb>
    <v>10</v>
  </rv>
  <rv s="2">
    <fb>1371.55</fb>
    <v>10</v>
  </rv>
  <rv s="2">
    <fb>1359.2</fb>
    <v>10</v>
  </rv>
  <rv s="2">
    <fb>1374.3</fb>
    <v>10</v>
  </rv>
  <rv s="2">
    <fb>1378.85</fb>
    <v>10</v>
  </rv>
  <rv s="2">
    <fb>1376.35</fb>
    <v>10</v>
  </rv>
  <rv s="2">
    <fb>1376.8</fb>
    <v>10</v>
  </rv>
  <rv s="2">
    <fb>1383.5</fb>
    <v>10</v>
  </rv>
  <rv s="2">
    <fb>1394.8</fb>
    <v>10</v>
  </rv>
  <rv s="2">
    <fb>1399.3</fb>
    <v>10</v>
  </rv>
  <rv s="2">
    <fb>1405.15</fb>
    <v>10</v>
  </rv>
  <rv s="2">
    <fb>1413.65</fb>
    <v>10</v>
  </rv>
  <rv s="2">
    <fb>1414.55</fb>
    <v>10</v>
  </rv>
  <rv s="2">
    <fb>1407.65</fb>
    <v>10</v>
  </rv>
  <rv s="2">
    <fb>1390.4</fb>
    <v>10</v>
  </rv>
  <rv s="2">
    <fb>1390.35</fb>
    <v>10</v>
  </rv>
  <rv s="2">
    <fb>1383.75</fb>
    <v>10</v>
  </rv>
  <rv s="2">
    <fb>1372.45</fb>
    <v>10</v>
  </rv>
  <rv s="2">
    <fb>1374</fb>
    <v>10</v>
  </rv>
  <rv s="2">
    <fb>1363.8</fb>
    <v>10</v>
  </rv>
  <rv s="2">
    <fb>1368.8</fb>
    <v>10</v>
  </rv>
  <rv s="2">
    <fb>1363.45</fb>
    <v>10</v>
  </rv>
  <rv s="2">
    <fb>1375.1</fb>
    <v>10</v>
  </rv>
  <rv s="2">
    <fb>1384.95</fb>
    <v>10</v>
  </rv>
  <rv s="2">
    <fb>1367.35</fb>
    <v>10</v>
  </rv>
  <rv s="2">
    <fb>1377.95</fb>
    <v>10</v>
  </rv>
  <rv s="2">
    <fb>1381.95</fb>
    <v>10</v>
  </rv>
  <rv s="2">
    <fb>1375.65</fb>
    <v>10</v>
  </rv>
  <rv s="2">
    <fb>1374.75</fb>
    <v>10</v>
  </rv>
  <rv s="2">
    <fb>1398.05</fb>
    <v>10</v>
  </rv>
  <rv s="2">
    <fb>1416.95</fb>
    <v>10</v>
  </rv>
  <rv s="2">
    <fb>1466.8</fb>
    <v>10</v>
  </rv>
  <rv s="2">
    <fb>1465.15</fb>
    <v>10</v>
  </rv>
  <rv s="2">
    <fb>1448.05</fb>
    <v>10</v>
  </rv>
  <rv s="2">
    <fb>1451.45</fb>
    <v>10</v>
  </rv>
  <rv s="2">
    <fb>1484</fb>
    <v>10</v>
  </rv>
  <rv s="2">
    <fb>1487.15</fb>
    <v>10</v>
  </rv>
  <rv s="2">
    <fb>1504.05</fb>
    <v>10</v>
  </rv>
  <rv s="2">
    <fb>1488.45</fb>
    <v>10</v>
  </rv>
  <rv s="2">
    <fb>1486.5</fb>
    <v>10</v>
  </rv>
  <rv s="2">
    <fb>1484.35</fb>
    <v>10</v>
  </rv>
  <rv s="2">
    <fb>1471.85</fb>
    <v>10</v>
  </rv>
  <rv s="2">
    <fb>1495.75</fb>
    <v>10</v>
  </rv>
  <rv s="2">
    <fb>1478.25</fb>
    <v>10</v>
  </rv>
  <rv s="2">
    <fb>1489.25</fb>
    <v>10</v>
  </rv>
  <rv s="2">
    <fb>1493.9</fb>
    <v>10</v>
  </rv>
  <rv s="2">
    <fb>1511.75</fb>
    <v>10</v>
  </rv>
  <rv s="2">
    <fb>1510.6</fb>
    <v>10</v>
  </rv>
  <rv s="2">
    <fb>1518.85</fb>
    <v>10</v>
  </rv>
  <rv s="2">
    <fb>1517.9</fb>
    <v>10</v>
  </rv>
  <rv s="2">
    <fb>1519.65</fb>
    <v>10</v>
  </rv>
  <rv s="2">
    <fb>1518.65</fb>
    <v>10</v>
  </rv>
  <rv s="2">
    <fb>1549.1</fb>
    <v>10</v>
  </rv>
  <rv s="2">
    <fb>1545.95</fb>
    <v>10</v>
  </rv>
  <rv s="2">
    <fb>1535.75</fb>
    <v>10</v>
  </rv>
  <rv s="2">
    <fb>1539.1</fb>
    <v>10</v>
  </rv>
  <rv s="2">
    <fb>1569.75</fb>
    <v>10</v>
  </rv>
  <rv s="2">
    <fb>1563.55</fb>
    <v>10</v>
  </rv>
  <rv s="2">
    <fb>1566.85</fb>
    <v>10</v>
  </rv>
  <rv s="2">
    <fb>1565.9</fb>
    <v>10</v>
  </rv>
  <rv s="2">
    <fb>1546.4</fb>
    <v>10</v>
  </rv>
  <rv s="2">
    <fb>1539</fb>
    <v>10</v>
  </rv>
  <rv s="2">
    <fb>1538.4</fb>
    <v>10</v>
  </rv>
  <rv s="2">
    <fb>1540.9</fb>
    <v>10</v>
  </rv>
  <rv s="2">
    <fb>1542.55</fb>
    <v>10</v>
  </rv>
  <rv s="2">
    <fb>1528.8</fb>
    <v>10</v>
  </rv>
  <rv s="2">
    <fb>1535.3</fb>
    <v>10</v>
  </rv>
  <rv s="2">
    <fb>1544.9</fb>
    <v>10</v>
  </rv>
  <rv s="2">
    <fb>1556</fb>
    <v>10</v>
  </rv>
  <rv s="2">
    <fb>1556.05</fb>
    <v>10</v>
  </rv>
  <rv s="2">
    <fb>1541.8</fb>
    <v>10</v>
  </rv>
  <rv s="2">
    <fb>1544.6</fb>
    <v>10</v>
  </rv>
  <rv s="2">
    <fb>1544.35</fb>
    <v>10</v>
  </rv>
  <rv s="2">
    <fb>1565.1</fb>
    <v>10</v>
  </rv>
  <rv s="2">
    <fb>1575.45</fb>
    <v>10</v>
  </rv>
  <rv s="2">
    <fb>1570.9</fb>
    <v>10</v>
  </rv>
  <rv s="2">
    <fb>1557.95</fb>
    <v>10</v>
  </rv>
  <rv s="2">
    <fb>1559</fb>
    <v>10</v>
  </rv>
  <rv s="2">
    <fb>1545.3</fb>
    <v>10</v>
  </rv>
  <rv s="2">
    <fb>1540.8</fb>
    <v>10</v>
  </rv>
  <rv s="2">
    <fb>1569.4</fb>
    <v>10</v>
  </rv>
  <rv s="2">
    <fb>1574.9</fb>
    <v>10</v>
  </rv>
  <rv s="2">
    <fb>1592.45</fb>
    <v>10</v>
  </rv>
  <rv s="2">
    <fb>1577.45</fb>
    <v>10</v>
  </rv>
  <rv s="2">
    <fb>1507.7</fb>
    <v>10</v>
  </rv>
  <rv s="2">
    <fb>1504.1</fb>
    <v>10</v>
  </rv>
  <rv s="2">
    <fb>1470.3</fb>
    <v>10</v>
  </rv>
  <rv s="2">
    <fb>1475.3</fb>
    <v>10</v>
  </rv>
  <rv s="2">
    <fb>1483.3</fb>
    <v>10</v>
  </rv>
  <rv s="2">
    <fb>1451.5</fb>
    <v>10</v>
  </rv>
  <rv s="2">
    <fb>1458.45</fb>
    <v>10</v>
  </rv>
  <rv s="2">
    <fb>1457.6</fb>
    <v>10</v>
  </rv>
  <rv s="2">
    <fb>1413.25</fb>
    <v>10</v>
  </rv>
  <rv s="2">
    <fb>1393.4</fb>
    <v>10</v>
  </rv>
  <rv s="2">
    <fb>1403.9</fb>
    <v>10</v>
  </rv>
  <rv s="2">
    <fb>1401.8</fb>
    <v>10</v>
  </rv>
  <rv s="2">
    <fb>1385.95</fb>
    <v>10</v>
  </rv>
  <rv s="2">
    <fb>1381.05</fb>
    <v>10</v>
  </rv>
  <rv s="2">
    <fb>1397.05</fb>
    <v>10</v>
  </rv>
  <rv s="2">
    <fb>1391.9</fb>
    <v>10</v>
  </rv>
  <rv s="2">
    <fb>1395.9</fb>
    <v>10</v>
  </rv>
  <rv s="2">
    <fb>1346</fb>
    <v>10</v>
  </rv>
  <rv s="2">
    <fb>1390.15</fb>
    <v>10</v>
  </rv>
  <rv s="2">
    <fb>1437.85</fb>
    <v>10</v>
  </rv>
  <rv s="2">
    <fb>1443.4</fb>
    <v>10</v>
  </rv>
  <rv s="2">
    <fb>1450.85</fb>
    <v>10</v>
  </rv>
  <rv s="2">
    <fb>1461.4</fb>
    <v>10</v>
  </rv>
  <rv s="2">
    <fb>1458.55</fb>
    <v>10</v>
  </rv>
  <rv s="2">
    <fb>1468.55</fb>
    <v>10</v>
  </rv>
  <rv s="2">
    <fb>1449.85</fb>
    <v>10</v>
  </rv>
  <rv s="2">
    <fb>1419.9</fb>
    <v>10</v>
  </rv>
  <rv s="2">
    <fb>1436.4</fb>
    <v>10</v>
  </rv>
  <rv s="2">
    <fb>1422.8</fb>
    <v>10</v>
  </rv>
  <rv s="2">
    <fb>1441.25</fb>
    <v>10</v>
  </rv>
  <rv s="2">
    <fb>1410.8</fb>
    <v>10</v>
  </rv>
  <rv s="2">
    <fb>1420.05</fb>
    <v>10</v>
  </rv>
  <rv s="5">
    <v>en-IN</v>
    <v>cinvhw</v>
    <v>268435456</v>
    <v>1</v>
    <v>Powered by Refinitiv</v>
    <v>11</v>
    <v>TATA MOTORS LIMITED (XNSE:TMCV)</v>
    <v>12</v>
    <v>13</v>
    <v>Finance</v>
    <v>14</v>
    <v>500</v>
    <v>306.3</v>
    <v>0.57699999999999996</v>
    <v>-1.6</v>
    <v>-3.372E-3</v>
    <v>INR</v>
    <v>Tata Motors Limited is an India-based commercial mobility company. The Company is a manufacturer of trucks and buses. The Company’s portfolio offers applications from last-mile delivery to long-haul freight and public transportation. The Company’s vehicular business includes small trucks, trucks, buses and vans. Its non-vehicular businesses include services, spares, aggregates, fleet edge, TATA OK and REWIRE. Its small trucks portfolio includes Tata ACE, Tata Intra and Tata Yodha. Its trucks include Haulage, ILMCV Trucks, Tipper and Tractor. Its vans include school vans, tourist vans and ambulance vans. Its aggregates include Gensets, Trailer Axles and Components and Industrial Engines. Its service offerings include Fleetcare, Tata Alert, Tata Zippy, Tata Kavach, Tata Delight, Tata Motors Genuine Oil and Sampoorna Seva 2.0.</v>
    <v>National Stock Exchange of India</v>
    <v>XNSE</v>
    <v>XNSE</v>
    <v>Bombay House, 24 Homi Mody Street, MUMBAI, MAHARASHTRA, 400001 IN</v>
    <v>482.9</v>
    <v>Automobiles &amp; Auto Parts</v>
    <v>Stock</v>
    <v>46073.464733796296</v>
    <v>471.05</v>
    <v>1561861000000</v>
    <v>TATA MOTORS LIMITED</v>
    <v>TATA MOTORS LIMITED</v>
    <v>476.3</v>
    <v>46.23</v>
    <v>474.5</v>
    <v>472.9</v>
    <v>3682331000</v>
    <v>TMCV</v>
    <v>TATA MOTORS LIMITED (XNSE:TMCV)</v>
    <v>5475490</v>
    <v>8653940</v>
    <v>2024</v>
  </rv>
  <rv s="1">
    <v>493</v>
  </rv>
  <rv s="6">
    <fb t="e">#N/A</fb>
    <v>6</v>
    <v>4</v>
  </rv>
  <rv s="2">
    <fb>329.45</fb>
    <v>10</v>
  </rv>
  <rv s="2">
    <fb>320.75</fb>
    <v>10</v>
  </rv>
  <rv s="2">
    <fb>317.60000000000002</fb>
    <v>10</v>
  </rv>
  <rv s="2">
    <fb>322.60000000000002</fb>
    <v>10</v>
  </rv>
  <rv s="2">
    <fb>325.14999999999998</fb>
    <v>10</v>
  </rv>
  <rv s="2">
    <fb>325.3</fb>
    <v>10</v>
  </rv>
  <rv s="2">
    <fb>322.85000000000002</fb>
    <v>10</v>
  </rv>
  <rv s="2">
    <fb>324.10000000000002</fb>
    <v>10</v>
  </rv>
  <rv s="2">
    <fb>320.60000000000002</fb>
    <v>10</v>
  </rv>
  <rv s="2">
    <fb>317.85000000000002</fb>
    <v>10</v>
  </rv>
  <rv s="2">
    <fb>324.05</fb>
    <v>10</v>
  </rv>
  <rv s="2">
    <fb>343.9</fb>
    <v>10</v>
  </rv>
  <rv s="2">
    <fb>352</fb>
    <v>10</v>
  </rv>
  <rv s="2">
    <fb>359.05</fb>
    <v>10</v>
  </rv>
  <rv s="2">
    <fb>354.8</fb>
    <v>10</v>
  </rv>
  <rv s="2">
    <fb>360.4</fb>
    <v>10</v>
  </rv>
  <rv s="2">
    <fb>356.45</fb>
    <v>10</v>
  </rv>
  <rv s="2">
    <fb>359.55</fb>
    <v>10</v>
  </rv>
  <rv s="2">
    <fb>360.35</fb>
    <v>10</v>
  </rv>
  <rv s="2">
    <fb>373.1</fb>
    <v>10</v>
  </rv>
  <rv s="2">
    <fb>377.8</fb>
    <v>10</v>
  </rv>
  <rv s="2">
    <fb>372.8</fb>
    <v>10</v>
  </rv>
  <rv s="2">
    <fb>373.45</fb>
    <v>10</v>
  </rv>
  <rv s="2">
    <fb>377.95</fb>
    <v>10</v>
  </rv>
  <rv s="2">
    <fb>387.35</fb>
    <v>10</v>
  </rv>
  <rv s="2">
    <fb>386.9</fb>
    <v>10</v>
  </rv>
  <rv s="2">
    <fb>401.05</fb>
    <v>10</v>
  </rv>
  <rv s="2">
    <fb>394.35</fb>
    <v>10</v>
  </rv>
  <rv s="2">
    <fb>411.7</fb>
    <v>10</v>
  </rv>
  <rv s="2">
    <fb>426.1</fb>
    <v>10</v>
  </rv>
  <rv s="2">
    <fb>408.75</fb>
    <v>10</v>
  </rv>
  <rv s="2">
    <fb>408.65</fb>
    <v>10</v>
  </rv>
  <rv s="2">
    <fb>409.5</fb>
    <v>10</v>
  </rv>
  <rv s="2">
    <fb>409.65</fb>
    <v>10</v>
  </rv>
  <rv s="2">
    <fb>415.5</fb>
    <v>10</v>
  </rv>
  <rv s="2">
    <fb>427.75</fb>
    <v>10</v>
  </rv>
  <rv s="2">
    <fb>442.25</fb>
    <v>10</v>
  </rv>
  <rv s="2">
    <fb>426.45</fb>
    <v>10</v>
  </rv>
  <rv s="2">
    <fb>432.65</fb>
    <v>10</v>
  </rv>
  <rv s="2">
    <fb>435.75</fb>
    <v>10</v>
  </rv>
  <rv s="2">
    <fb>435.2</fb>
    <v>10</v>
  </rv>
  <rv s="2">
    <fb>431.55</fb>
    <v>10</v>
  </rv>
  <rv s="2">
    <fb>424.9</fb>
    <v>10</v>
  </rv>
  <rv s="2">
    <fb>424.15</fb>
    <v>10</v>
  </rv>
  <rv s="2">
    <fb>433.75</fb>
    <v>10</v>
  </rv>
  <rv s="2">
    <fb>438.5</fb>
    <v>10</v>
  </rv>
  <rv s="2">
    <fb>441.4</fb>
    <v>10</v>
  </rv>
  <rv s="2">
    <fb>432.45</fb>
    <v>10</v>
  </rv>
  <rv s="2">
    <fb>434.85</fb>
    <v>10</v>
  </rv>
  <rv s="2">
    <fb>444.9</fb>
    <v>10</v>
  </rv>
  <rv s="2">
    <fb>449.2</fb>
    <v>10</v>
  </rv>
  <rv s="2">
    <fb>443.9</fb>
    <v>10</v>
  </rv>
  <rv s="2">
    <fb>467.95</fb>
    <v>10</v>
  </rv>
  <rv s="2">
    <fb>470.2</fb>
    <v>10</v>
  </rv>
  <rv s="2">
    <fb>458.5</fb>
    <v>10</v>
  </rv>
  <rv s="2">
    <fb>441.3</fb>
    <v>10</v>
  </rv>
  <rv s="2">
    <fb>443.55</fb>
    <v>10</v>
  </rv>
  <rv s="2">
    <fb>457.95</fb>
    <v>10</v>
  </rv>
  <rv s="2">
    <fb>458.45</fb>
    <v>10</v>
  </rv>
  <rv s="2">
    <fb>455.9</fb>
    <v>10</v>
  </rv>
  <rv s="2">
    <fb>458.25</fb>
    <v>10</v>
  </rv>
  <rv s="2">
    <fb>466.8</fb>
    <v>10</v>
  </rv>
  <rv s="2">
    <fb>472.55</fb>
    <v>10</v>
  </rv>
  <rv s="2">
    <fb>487.2</fb>
    <v>10</v>
  </rv>
  <rv s="2">
    <fb>498.15</fb>
    <v>10</v>
  </rv>
  <rv s="2">
    <fb>483.75</fb>
    <v>10</v>
  </rv>
  <rv s="2">
    <fb>479.05</fb>
    <v>10</v>
  </rv>
  <rv s="2">
    <fb>489.75</fb>
    <v>10</v>
  </rv>
  <rv s="2">
    <fb>488.8</fb>
    <v>10</v>
  </rv>
  <rv s="2">
    <fb>474.5</fb>
    <v>10</v>
  </rv>
  <rv s="2">
    <fb>472.9</fb>
    <v>10</v>
  </rv>
  <rv s="3">
    <v>https://www.bing.com/financeapi/forcetrigger?t=ahi3jc&amp;q=XNSE%3aHDFCBANK&amp;form=skydnc</v>
    <v>Learn more on Bing</v>
  </rv>
  <rv s="4">
    <v>en-IN</v>
    <v>ahi3jc</v>
    <v>268435456</v>
    <v>1</v>
    <v>Powered by Refinitiv</v>
    <v>6</v>
    <v>HDFC BANK LIMITED (XNSE:HDFCBANK)</v>
    <v>7</v>
    <v>8</v>
    <v>Finance</v>
    <v>14</v>
    <v>1020.5</v>
    <v>828.49</v>
    <v>0.93440000000000001</v>
    <v>-3.75</v>
    <v>-4.0959999999999998E-3</v>
    <v>INR</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215739</v>
    <v>National Stock Exchange of India</v>
    <v>XNSE</v>
    <v>XNSE</v>
    <v>'Hdfc Bank House', Senapati Bapat Road, Lower Parel (West), Mumbai India, MUMBAI, MAHARASHTRA, 400013 IN</v>
    <v>917.85</v>
    <v>Banking Services</v>
    <v>Stock</v>
    <v>46073.464629629627</v>
    <v>567</v>
    <v>908.4</v>
    <v>14420670000000</v>
    <v>HDFC BANK LIMITED</v>
    <v>HDFC BANK LIMITED</v>
    <v>911</v>
    <v>18.84</v>
    <v>915.6</v>
    <v>911.85</v>
    <v>15388020000</v>
    <v>HDFCBANK</v>
    <v>HDFC BANK LIMITED (XNSE:HDFCBANK)</v>
    <v>22654907</v>
    <v>25787840</v>
    <v>1994</v>
  </rv>
  <rv s="1">
    <v>568</v>
  </rv>
  <rv s="2">
    <fb>836.47040000000004</fb>
    <v>10</v>
  </rv>
  <rv s="2">
    <fb>839.08889999999997</fb>
    <v>10</v>
  </rv>
  <rv s="2">
    <fb>848.24109999999996</fb>
    <v>10</v>
  </rv>
  <rv s="2">
    <fb>864.05179999999996</fb>
    <v>10</v>
  </rv>
  <rv s="2">
    <fb>848.66510000000005</fb>
    <v>10</v>
  </rv>
  <rv s="2">
    <fb>852.87959999999998</fb>
    <v>10</v>
  </rv>
  <rv s="2">
    <fb>842.90440000000001</fb>
    <v>10</v>
  </rv>
  <rv s="2">
    <fb>843.50289999999995</fb>
    <v>10</v>
  </rv>
  <rv s="2">
    <fb>842.53030000000001</fb>
    <v>10</v>
  </rv>
  <rv s="2">
    <fb>841.65750000000003</fb>
    <v>10</v>
  </rv>
  <rv s="2">
    <fb>840.66</fb>
    <v>10</v>
  </rv>
  <rv s="2">
    <fb>853.45320000000004</fb>
    <v>10</v>
  </rv>
  <rv s="2">
    <fb>851.18380000000002</fb>
    <v>10</v>
  </rv>
  <rv s="2">
    <fb>853.07910000000004</fb>
    <v>10</v>
  </rv>
  <rv s="2">
    <fb>863.95209999999997</fb>
    <v>10</v>
  </rv>
  <rv s="2">
    <fb>869.88729999999998</fb>
    <v>10</v>
  </rv>
  <rv s="2">
    <fb>882.18179999999995</fb>
    <v>10</v>
  </rv>
  <rv s="2">
    <fb>882.97979999999995</fb>
    <v>10</v>
  </rv>
  <rv s="2">
    <fb>897.76800000000003</fb>
    <v>10</v>
  </rv>
  <rv s="2">
    <fb>908.46640000000002</fb>
    <v>10</v>
  </rv>
  <rv s="2">
    <fb>901.03489999999999</fb>
    <v>10</v>
  </rv>
  <rv s="2">
    <fb>910.41160000000002</fb>
    <v>10</v>
  </rv>
  <rv s="2">
    <fb>911.83299999999997</fb>
    <v>10</v>
  </rv>
  <rv s="2">
    <fb>881.73289999999997</fb>
    <v>10</v>
  </rv>
  <rv s="2">
    <fb>896.22180000000003</fb>
    <v>10</v>
  </rv>
  <rv s="2">
    <fb>895.19939999999997</fb>
    <v>10</v>
  </rv>
  <rv s="2">
    <fb>906.39649999999995</fb>
    <v>10</v>
  </rv>
  <rv s="2">
    <fb>876.67049999999995</fb>
    <v>10</v>
  </rv>
  <rv s="2">
    <fb>882.38130000000001</fb>
    <v>10</v>
  </rv>
  <rv s="2">
    <fb>880.31140000000005</fb>
    <v>10</v>
  </rv>
  <rv s="2">
    <fb>901.13459999999998</fb>
    <v>10</v>
  </rv>
  <rv s="2">
    <fb>930.13750000000005</fb>
    <v>10</v>
  </rv>
  <rv s="2">
    <fb>936.67129999999997</fb>
    <v>10</v>
  </rv>
  <rv s="2">
    <fb>950.98569999999995</fb>
    <v>10</v>
  </rv>
  <rv s="2">
    <fb>961.16039999999998</fb>
    <v>10</v>
  </rv>
  <rv s="2">
    <fb>978.41750000000002</fb>
    <v>10</v>
  </rv>
  <rv s="2">
    <fb>959.56439999999998</fb>
    <v>10</v>
  </rv>
  <rv s="2">
    <fb>956.02319999999997</fb>
    <v>10</v>
  </rv>
  <rv s="2">
    <fb>953.23009999999999</fb>
    <v>10</v>
  </rv>
  <rv s="2">
    <fb>957.71900000000005</fb>
    <v>10</v>
  </rv>
  <rv s="2">
    <fb>952.03309999999999</fb>
    <v>10</v>
  </rv>
  <rv s="2">
    <fb>960.11300000000006</fb>
    <v>10</v>
  </rv>
  <rv s="2">
    <fb>965.99839999999995</fb>
    <v>10</v>
  </rv>
  <rv s="2">
    <fb>963.4547</fb>
    <v>10</v>
  </rv>
  <rv s="2">
    <fb>970.38750000000005</fb>
    <v>10</v>
  </rv>
  <rv s="2">
    <fb>961.8587</fb>
    <v>10</v>
  </rv>
  <rv s="2">
    <fb>942.5068</fb>
    <v>10</v>
  </rv>
  <rv s="2">
    <fb>976.17309999999998</fb>
    <v>10</v>
  </rv>
  <rv s="2">
    <fb>958.91600000000005</fb>
    <v>10</v>
  </rv>
  <rv s="2">
    <fb>952.93089999999995</fb>
    <v>10</v>
  </rv>
  <rv s="2">
    <fb>964.50210000000004</fb>
    <v>10</v>
  </rv>
  <rv s="2">
    <fb>964.95100000000002</fb>
    <v>10</v>
  </rv>
  <rv s="2">
    <fb>966.94600000000003</fb>
    <v>10</v>
  </rv>
  <rv s="2">
    <fb>955.07550000000003</fb>
    <v>10</v>
  </rv>
  <rv s="2">
    <fb>961.01080000000002</fb>
    <v>10</v>
  </rv>
  <rv s="2">
    <fb>957.5693</fb>
    <v>10</v>
  </rv>
  <rv s="2">
    <fb>964.40229999999997</fb>
    <v>10</v>
  </rv>
  <rv s="2">
    <fb>967.69420000000002</fb>
    <v>10</v>
  </rv>
  <rv s="2">
    <fb>960.76139999999998</fb>
    <v>10</v>
  </rv>
  <rv s="2">
    <fb>959.36490000000003</fb>
    <v>10</v>
  </rv>
  <rv s="2">
    <fb>961.35990000000004</fb>
    <v>10</v>
  </rv>
  <rv s="2">
    <fb>970.03830000000005</fb>
    <v>10</v>
  </rv>
  <rv s="2">
    <fb>963.65419999999995</fb>
    <v>10</v>
  </rv>
  <rv s="2">
    <fb>959.9135</fb>
    <v>10</v>
  </rv>
  <rv s="2">
    <fb>968.19290000000001</fb>
    <v>10</v>
  </rv>
  <rv s="2">
    <fb>972.38250000000005</fb>
    <v>10</v>
  </rv>
  <rv s="2">
    <fb>986.89639999999997</fb>
    <v>10</v>
  </rv>
  <rv s="2">
    <fb>986.99620000000004</fb>
    <v>10</v>
  </rv>
  <rv s="2">
    <fb>980.21299999999997</fb>
    <v>10</v>
  </rv>
  <rv s="2">
    <fb>972.78150000000005</fb>
    <v>10</v>
  </rv>
  <rv s="2">
    <fb>969.29020000000003</fb>
    <v>10</v>
  </rv>
  <rv s="2">
    <fb>956.42219999999998</fb>
    <v>10</v>
  </rv>
  <rv s="2">
    <fb>965.30010000000004</fb>
    <v>10</v>
  </rv>
  <rv s="2">
    <fb>962.40729999999996</fb>
    <v>10</v>
  </rv>
  <rv s="2">
    <fb>964.55200000000002</fb>
    <v>10</v>
  </rv>
  <rv s="2">
    <fb>965.25019999999995</fb>
    <v>10</v>
  </rv>
  <rv s="2">
    <fb>979.91380000000004</fb>
    <v>10</v>
  </rv>
  <rv s="2">
    <fb>971.78399999999999</fb>
    <v>10</v>
  </rv>
  <rv s="2">
    <fb>978.01850000000002</fb>
    <v>10</v>
  </rv>
  <rv s="2">
    <fb>987.64459999999997</fb>
    <v>10</v>
  </rv>
  <rv s="2">
    <fb>1008.393</fb>
    <v>10</v>
  </rv>
  <rv s="2">
    <fb>1004.9515</fb>
    <v>10</v>
  </rv>
  <rv s="2">
    <fb>998.2681</fb>
    <v>10</v>
  </rv>
  <rv s="2">
    <fb>1003.5549999999999</fb>
    <v>10</v>
  </rv>
  <rv s="2">
    <fb>990.53740000000005</fb>
    <v>10</v>
  </rv>
  <rv s="2">
    <fb>991.08600000000001</fb>
    <v>10</v>
  </rv>
  <rv s="2">
    <fb>992.18330000000003</fb>
    <v>10</v>
  </rv>
  <rv s="2">
    <fb>991.23559999999998</fb>
    <v>10</v>
  </rv>
  <rv s="2">
    <fb>998.2183</fb>
    <v>10</v>
  </rv>
  <rv s="2">
    <fb>1003.1061</fb>
    <v>10</v>
  </rv>
  <rv s="2">
    <fb>1000.6123</fb>
    <v>10</v>
  </rv>
  <rv s="2">
    <fb>989.39020000000005</fb>
    <v>10</v>
  </rv>
  <rv s="2">
    <fb>989.04110000000003</fb>
    <v>10</v>
  </rv>
  <rv s="2">
    <fb>995.27560000000005</fb>
    <v>10</v>
  </rv>
  <rv s="2">
    <fb>995.67460000000005</fb>
    <v>10</v>
  </rv>
  <rv s="2">
    <fb>990.98620000000005</fb>
    <v>10</v>
  </rv>
  <rv s="2">
    <fb>976.27279999999996</fb>
    <v>10</v>
  </rv>
  <rv s="2">
    <fb>997.76940000000002</fb>
    <v>10</v>
  </rv>
  <rv s="2">
    <fb>1001.0612</fb>
    <v>10</v>
  </rv>
  <rv s="2">
    <fb>1009.6399</fb>
    <v>10</v>
  </rv>
  <rv s="2">
    <fb>1004.6024</fb>
    <v>10</v>
  </rv>
  <rv s="2">
    <fb>1002.3</fb>
    <v>10</v>
  </rv>
  <rv s="2">
    <fb>1004.25</fb>
    <v>10</v>
  </rv>
  <rv s="2">
    <fb>1010.8</fb>
    <v>10</v>
  </rv>
  <rv s="2">
    <fb>1012.9</fb>
    <v>10</v>
  </rv>
  <rv s="2">
    <fb>1009.1</fb>
    <v>10</v>
  </rv>
  <rv s="2">
    <fb>1006.1</fb>
    <v>10</v>
  </rv>
  <rv s="2">
    <fb>996</fb>
    <v>10</v>
  </rv>
  <rv s="2">
    <fb>988.8</fb>
    <v>10</v>
  </rv>
  <rv s="2">
    <fb>992.65</fb>
    <v>10</v>
  </rv>
  <rv s="2">
    <fb>997.7</fb>
    <v>10</v>
  </rv>
  <rv s="2">
    <fb>986.95</fb>
    <v>10</v>
  </rv>
  <rv s="2">
    <fb>997.8</fb>
    <v>10</v>
  </rv>
  <rv s="2">
    <fb>984.95</fb>
    <v>10</v>
  </rv>
  <rv s="2">
    <fb>990.15</fb>
    <v>10</v>
  </rv>
  <rv s="2">
    <fb>995.55</fb>
    <v>10</v>
  </rv>
  <rv s="2">
    <fb>1001.8</fb>
    <v>10</v>
  </rv>
  <rv s="2">
    <fb>994.1</fb>
    <v>10</v>
  </rv>
  <rv s="2">
    <fb>995.6</fb>
    <v>10</v>
  </rv>
  <rv s="2">
    <fb>982.3</fb>
    <v>10</v>
  </rv>
  <rv s="2">
    <fb>982.05</fb>
    <v>10</v>
  </rv>
  <rv s="2">
    <fb>973.4</fb>
    <v>10</v>
  </rv>
  <rv s="2">
    <fb>957.8</fb>
    <v>10</v>
  </rv>
  <rv s="2">
    <fb>951.6</fb>
    <v>10</v>
  </rv>
  <rv s="2">
    <fb>950.6</fb>
    <v>10</v>
  </rv>
  <rv s="2">
    <fb>944.5</fb>
    <v>10</v>
  </rv>
  <rv s="2">
    <fb>954.45</fb>
    <v>10</v>
  </rv>
  <rv s="2">
    <fb>961.25</fb>
    <v>10</v>
  </rv>
  <rv s="2">
    <fb>963.4</fb>
    <v>10</v>
  </rv>
  <rv s="2">
    <fb>966</fb>
    <v>10</v>
  </rv>
  <rv s="2">
    <fb>965.15</fb>
    <v>10</v>
  </rv>
  <rv s="2">
    <fb>965.9</fb>
    <v>10</v>
  </rv>
  <rv s="2">
    <fb>967.8</fb>
    <v>10</v>
  </rv>
  <rv s="2">
    <fb>967.3</fb>
    <v>10</v>
  </rv>
  <rv s="2">
    <fb>967.05</fb>
    <v>10</v>
  </rv>
  <rv s="2">
    <fb>966.85</fb>
    <v>10</v>
  </rv>
  <rv s="2">
    <fb>966.5</fb>
    <v>10</v>
  </rv>
  <rv s="2">
    <fb>976.9</fb>
    <v>10</v>
  </rv>
  <rv s="2">
    <fb>966.9</fb>
    <v>10</v>
  </rv>
  <rv s="2">
    <fb>964.2</fb>
    <v>10</v>
  </rv>
  <rv s="2">
    <fb>957.2</fb>
    <v>10</v>
  </rv>
  <rv s="2">
    <fb>951.05</fb>
    <v>10</v>
  </rv>
  <rv s="2">
    <fb>949.85</fb>
    <v>10</v>
  </rv>
  <rv s="2">
    <fb>945.05</fb>
    <v>10</v>
  </rv>
  <rv s="2">
    <fb>950.3</fb>
    <v>10</v>
  </rv>
  <rv s="2">
    <fb>951</fb>
    <v>10</v>
  </rv>
  <rv s="2">
    <fb>965.25</fb>
    <v>10</v>
  </rv>
  <rv s="2">
    <fb>973.45</fb>
    <v>10</v>
  </rv>
  <rv s="2">
    <fb>982.5</fb>
    <v>10</v>
  </rv>
  <rv s="2">
    <fb>978.7</fb>
    <v>10</v>
  </rv>
  <rv s="2">
    <fb>977.1</fb>
    <v>10</v>
  </rv>
  <rv s="2">
    <fb>980.9</fb>
    <v>10</v>
  </rv>
  <rv s="2">
    <fb>977</fb>
    <v>10</v>
  </rv>
  <rv s="2">
    <fb>977.15</fb>
    <v>10</v>
  </rv>
  <rv s="2">
    <fb>978.25</fb>
    <v>10</v>
  </rv>
  <rv s="2">
    <fb>994.35</fb>
    <v>10</v>
  </rv>
  <rv s="2">
    <fb>1002.55</fb>
    <v>10</v>
  </rv>
  <rv s="2">
    <fb>1002.95</fb>
    <v>10</v>
  </rv>
  <rv s="2">
    <fb>1007.7</fb>
    <v>10</v>
  </rv>
  <rv s="2">
    <fb>1008.8</fb>
    <v>10</v>
  </rv>
  <rv s="2">
    <fb>994.75</fb>
    <v>10</v>
  </rv>
  <rv s="2">
    <fb>1003.55</fb>
    <v>10</v>
  </rv>
  <rv s="2">
    <fb>1007.85</fb>
    <v>10</v>
  </rv>
  <rv s="2">
    <fb>998.15</fb>
    <v>10</v>
  </rv>
  <rv s="2">
    <fb>987.3</fb>
    <v>10</v>
  </rv>
  <rv s="2">
    <fb>985.25</fb>
    <v>10</v>
  </rv>
  <rv s="2">
    <fb>984.65</fb>
    <v>10</v>
  </rv>
  <rv s="2">
    <fb>984.5</fb>
    <v>10</v>
  </rv>
  <rv s="2">
    <fb>991.7</fb>
    <v>10</v>
  </rv>
  <rv s="2">
    <fb>989.5</fb>
    <v>10</v>
  </rv>
  <rv s="2">
    <fb>986.65</fb>
    <v>10</v>
  </rv>
  <rv s="2">
    <fb>989.6</fb>
    <v>10</v>
  </rv>
  <rv s="2">
    <fb>996.55</fb>
    <v>10</v>
  </rv>
  <rv s="2">
    <fb>992.45</fb>
    <v>10</v>
  </rv>
  <rv s="2">
    <fb>994.6</fb>
    <v>10</v>
  </rv>
  <rv s="2">
    <fb>1008.85</fb>
    <v>10</v>
  </rv>
  <rv s="2">
    <fb>998.05</fb>
    <v>10</v>
  </rv>
  <rv s="2">
    <fb>999.15</fb>
    <v>10</v>
  </rv>
  <rv s="2">
    <fb>989.8</fb>
    <v>10</v>
  </rv>
  <rv s="2">
    <fb>1003.9</fb>
    <v>10</v>
  </rv>
  <rv s="2">
    <fb>1009.5</fb>
    <v>10</v>
  </rv>
  <rv s="2">
    <fb>1007.6</fb>
    <v>10</v>
  </rv>
  <rv s="2">
    <fb>1002.1</fb>
    <v>10</v>
  </rv>
  <rv s="2">
    <fb>1000.5</fb>
    <v>10</v>
  </rv>
  <rv s="2">
    <fb>997.2</fb>
    <v>10</v>
  </rv>
  <rv s="2">
    <fb>1003.3</fb>
    <v>10</v>
  </rv>
  <rv s="2">
    <fb>1003.1</fb>
    <v>10</v>
  </rv>
  <rv s="2">
    <fb>997.1</fb>
    <v>10</v>
  </rv>
  <rv s="2">
    <fb>1000.3</fb>
    <v>10</v>
  </rv>
  <rv s="2">
    <fb>1001.5</fb>
    <v>10</v>
  </rv>
  <rv s="2">
    <fb>996.1</fb>
    <v>10</v>
  </rv>
  <rv s="2">
    <fb>994.3</fb>
    <v>10</v>
  </rv>
  <rv s="2">
    <fb>984</fb>
    <v>10</v>
  </rv>
  <rv s="2">
    <fb>979.7</fb>
    <v>10</v>
  </rv>
  <rv s="2">
    <fb>985.5</fb>
    <v>10</v>
  </rv>
  <rv s="2">
    <fb>987.7</fb>
    <v>10</v>
  </rv>
  <rv s="2">
    <fb>996.6</fb>
    <v>10</v>
  </rv>
  <rv s="2">
    <fb>992.1</fb>
    <v>10</v>
  </rv>
  <rv s="2">
    <fb>990.9</fb>
    <v>10</v>
  </rv>
  <rv s="2">
    <fb>991.2</fb>
    <v>10</v>
  </rv>
  <rv s="2">
    <fb>991.15</fb>
    <v>10</v>
  </rv>
  <rv s="2">
    <fb>1001.6</fb>
    <v>10</v>
  </rv>
  <rv s="2">
    <fb>977.5</fb>
    <v>10</v>
  </rv>
  <rv s="2">
    <fb>962.2</fb>
    <v>10</v>
  </rv>
  <rv s="2">
    <fb>949.05</fb>
    <v>10</v>
  </rv>
  <rv s="2">
    <fb>946.7</fb>
    <v>10</v>
  </rv>
  <rv s="2">
    <fb>939</fb>
    <v>10</v>
  </rv>
  <rv s="2">
    <fb>936.95</fb>
    <v>10</v>
  </rv>
  <rv s="2">
    <fb>937.35</fb>
    <v>10</v>
  </rv>
  <rv s="2">
    <fb>925.45</fb>
    <v>10</v>
  </rv>
  <rv s="2">
    <fb>931.1</fb>
    <v>10</v>
  </rv>
  <rv s="2">
    <fb>927.9</fb>
    <v>10</v>
  </rv>
  <rv s="2">
    <fb>931.2</fb>
    <v>10</v>
  </rv>
  <rv s="2">
    <fb>920.35</fb>
    <v>10</v>
  </rv>
  <rv s="2">
    <fb>918.7</fb>
    <v>10</v>
  </rv>
  <rv s="2">
    <fb>916.1</fb>
    <v>10</v>
  </rv>
  <rv s="2">
    <fb>926.4</fb>
    <v>10</v>
  </rv>
  <rv s="2">
    <fb>932.7</fb>
    <v>10</v>
  </rv>
  <rv s="2">
    <fb>935.5</fb>
    <v>10</v>
  </rv>
  <rv s="2">
    <fb>929.25</fb>
    <v>10</v>
  </rv>
  <rv s="2">
    <fb>922.1</fb>
    <v>10</v>
  </rv>
  <rv s="2">
    <fb>928.1</fb>
    <v>10</v>
  </rv>
  <rv s="2">
    <fb>948.7</fb>
    <v>10</v>
  </rv>
  <rv s="2">
    <fb>953.1</fb>
    <v>10</v>
  </rv>
  <rv s="2">
    <fb>949.7</fb>
    <v>10</v>
  </rv>
  <rv s="2">
    <fb>941.1</fb>
    <v>10</v>
  </rv>
  <rv s="2">
    <fb>937.25</fb>
    <v>10</v>
  </rv>
  <rv s="2">
    <fb>932.4</fb>
    <v>10</v>
  </rv>
  <rv s="2">
    <fb>927.1</fb>
    <v>10</v>
  </rv>
  <rv s="2">
    <fb>920.6</fb>
    <v>10</v>
  </rv>
  <rv s="2">
    <fb>903.9</fb>
    <v>10</v>
  </rv>
  <rv s="2">
    <fb>925.8</fb>
    <v>10</v>
  </rv>
  <rv s="2">
    <fb>925.7</fb>
    <v>10</v>
  </rv>
  <rv s="2">
    <fb>924.7</fb>
    <v>10</v>
  </rv>
  <rv s="2">
    <fb>915.6</fb>
    <v>10</v>
  </rv>
  <rv s="2">
    <fb>911.85</fb>
    <v>10</v>
  </rv>
  <rv s="3">
    <v>https://www.bing.com/financeapi/forcetrigger?t=ahju6h&amp;q=XNSE%3aSBIN&amp;form=skydnc</v>
    <v>Learn more on Bing</v>
  </rv>
  <rv s="7">
    <v>en-IN</v>
    <v>ahju6h</v>
    <v>268435456</v>
    <v>1</v>
    <v>Powered by Refinitiv</v>
    <v>15</v>
    <v>State Bank of India (XNSE:SBIN)</v>
    <v>7</v>
    <v>16</v>
    <v>Finance</v>
    <v>14</v>
    <v>1225.5</v>
    <v>680</v>
    <v>0.99139999999999995</v>
    <v>10.4</v>
    <v>8.626E-3</v>
    <v>INR</v>
    <v>State Bank of India is an India-based banking and financial services provider. The Company is engaged in providing a wide range of products and services to individuals, commercial enterprises, corporates, public bodies and institutional customers. The Company has a digital platform, YONO 2.0, which is designed to reduce customer acquisition costs by a factor of ten compared to traditional banking methods.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 Retail Banking Segment is engaged in personal banking activities including lending activities to corporate customers having banking relations with its branches.</v>
    <v>236226</v>
    <v>National Stock Exchange of India</v>
    <v>XNSE</v>
    <v>XNSE</v>
    <v>Corporate Centre,14th Floor, State Bank Bhavan, Madame Cama Marg, MUMBAI, MAHARASHTRA, 400021 IN</v>
    <v>1218</v>
    <v>Banking Services</v>
    <v>Stock</v>
    <v>46073.464641203704</v>
    <v>806</v>
    <v>1201.8</v>
    <v>9493229000000</v>
    <v>State Bank of India</v>
    <v>State Bank of India</v>
    <v>1206.2</v>
    <v>13.16</v>
    <v>1205.7</v>
    <v>1216.0999999999999</v>
    <v>9230617000</v>
    <v>SBIN</v>
    <v>State Bank of India (XNSE:SBIN)</v>
    <v>9958162</v>
    <v>20406750</v>
  </rv>
  <rv s="1">
    <v>807</v>
  </rv>
  <rv s="2">
    <fb>716.4</fb>
    <v>10</v>
  </rv>
  <rv s="2">
    <fb>710.9</fb>
    <v>10</v>
  </rv>
  <rv s="2">
    <fb>703.9</fb>
    <v>10</v>
  </rv>
  <rv s="2">
    <fb>688.8</fb>
    <v>10</v>
  </rv>
  <rv s="2">
    <fb>695.3</fb>
    <v>10</v>
  </rv>
  <rv s="2">
    <fb>716.05</fb>
    <v>10</v>
  </rv>
  <rv s="2">
    <fb>730.35</fb>
    <v>10</v>
  </rv>
  <rv s="2">
    <fb>732.05</fb>
    <v>10</v>
  </rv>
  <rv s="2">
    <fb>732.75</fb>
    <v>10</v>
  </rv>
  <rv s="2">
    <fb>728.9</fb>
    <v>10</v>
  </rv>
  <rv s="2">
    <fb>729.85</fb>
    <v>10</v>
  </rv>
  <rv s="2">
    <fb>723.05</fb>
    <v>10</v>
  </rv>
  <rv s="2">
    <fb>727.85</fb>
    <v>10</v>
  </rv>
  <rv s="2">
    <fb>723.15</fb>
    <v>10</v>
  </rv>
  <rv s="2">
    <fb>736.7</fb>
    <v>10</v>
  </rv>
  <rv s="2">
    <fb>745.1</fb>
    <v>10</v>
  </rv>
  <rv s="2">
    <fb>749.55</fb>
    <v>10</v>
  </rv>
  <rv s="2">
    <fb>753.2</fb>
    <v>10</v>
  </rv>
  <rv s="2">
    <fb>780.8</fb>
    <v>10</v>
  </rv>
  <rv s="2">
    <fb>772.85</fb>
    <v>10</v>
  </rv>
  <rv s="2">
    <fb>764</fb>
    <v>10</v>
  </rv>
  <rv s="2">
    <fb>772.3</fb>
    <v>10</v>
  </rv>
  <rv s="2">
    <fb>771.5</fb>
    <v>10</v>
  </rv>
  <rv s="2">
    <fb>771.7</fb>
    <v>10</v>
  </rv>
  <rv s="2">
    <fb>775.95</fb>
    <v>10</v>
  </rv>
  <rv s="2">
    <fb>779.2</fb>
    <v>10</v>
  </rv>
  <rv s="2">
    <fb>767.45</fb>
    <v>10</v>
  </rv>
  <rv s="2">
    <fb>746.9</fb>
    <v>10</v>
  </rv>
  <rv s="2">
    <fb>768.6</fb>
    <v>10</v>
  </rv>
  <rv s="2">
    <fb>742.2</fb>
    <v>10</v>
  </rv>
  <rv s="2">
    <fb>753.85</fb>
    <v>10</v>
  </rv>
  <rv s="2">
    <fb>763.5</fb>
    <v>10</v>
  </rv>
  <rv s="2">
    <fb>771.75</fb>
    <v>10</v>
  </rv>
  <rv s="2">
    <fb>797.45</fb>
    <v>10</v>
  </rv>
  <rv s="2">
    <fb>816.7</fb>
    <v>10</v>
  </rv>
  <rv s="2">
    <fb>822.4</fb>
    <v>10</v>
  </rv>
  <rv s="2">
    <fb>813.45</fb>
    <v>10</v>
  </rv>
  <rv s="2">
    <fb>813.4</fb>
    <v>10</v>
  </rv>
  <rv s="2">
    <fb>798.65</fb>
    <v>10</v>
  </rv>
  <rv s="2">
    <fb>817.35</fb>
    <v>10</v>
  </rv>
  <rv s="2">
    <fb>812.55</fb>
    <v>10</v>
  </rv>
  <rv s="2">
    <fb>788.65</fb>
    <v>10</v>
  </rv>
  <rv s="2">
    <fb>800</fb>
    <v>10</v>
  </rv>
  <rv s="2">
    <fb>790</fb>
    <v>10</v>
  </rv>
  <rv s="2">
    <fb>774.1</fb>
    <v>10</v>
  </rv>
  <rv s="2">
    <fb>776.1</fb>
    <v>10</v>
  </rv>
  <rv s="2">
    <fb>769</fb>
    <v>10</v>
  </rv>
  <rv s="2">
    <fb>779.25</fb>
    <v>10</v>
  </rv>
  <rv s="2">
    <fb>801.65</fb>
    <v>10</v>
  </rv>
  <rv s="2">
    <fb>801.75</fb>
    <v>10</v>
  </rv>
  <rv s="2">
    <fb>800.7</fb>
    <v>10</v>
  </rv>
  <rv s="2">
    <fb>807.75</fb>
    <v>10</v>
  </rv>
  <rv s="2">
    <fb>792.1</fb>
    <v>10</v>
  </rv>
  <rv s="2">
    <fb>795</fb>
    <v>10</v>
  </rv>
  <rv s="2">
    <fb>785.65</fb>
    <v>10</v>
  </rv>
  <rv s="2">
    <fb>787.1</fb>
    <v>10</v>
  </rv>
  <rv s="2">
    <fb>785.25</fb>
    <v>10</v>
  </rv>
  <rv s="2">
    <fb>790.5</fb>
    <v>10</v>
  </rv>
  <rv s="2">
    <fb>794.4</fb>
    <v>10</v>
  </rv>
  <rv s="2">
    <fb>793.7</fb>
    <v>10</v>
  </rv>
  <rv s="2">
    <fb>796.55</fb>
    <v>10</v>
  </rv>
  <rv s="2">
    <fb>797.35</fb>
    <v>10</v>
  </rv>
  <rv s="2">
    <fb>812.3</fb>
    <v>10</v>
  </rv>
  <rv s="2">
    <fb>813.65</fb>
    <v>10</v>
  </rv>
  <rv s="2">
    <fb>809.8</fb>
    <v>10</v>
  </rv>
  <rv s="2">
    <fb>806.5</fb>
    <v>10</v>
  </rv>
  <rv s="2">
    <fb>806</fb>
    <v>10</v>
  </rv>
  <rv s="2">
    <fb>813.05</fb>
    <v>10</v>
  </rv>
  <rv s="2">
    <fb>820.05</fb>
    <v>10</v>
  </rv>
  <rv s="2">
    <fb>817.05</fb>
    <v>10</v>
  </rv>
  <rv s="2">
    <fb>815.05</fb>
    <v>10</v>
  </rv>
  <rv s="2">
    <fb>805.95</fb>
    <v>10</v>
  </rv>
  <rv s="2">
    <fb>792.35</fb>
    <v>10</v>
  </rv>
  <rv s="2">
    <fb>792.5</fb>
    <v>10</v>
  </rv>
  <rv s="2">
    <fb>792.3</fb>
    <v>10</v>
  </rv>
  <rv s="2">
    <fb>791.9</fb>
    <v>10</v>
  </rv>
  <rv s="2">
    <fb>785.1</fb>
    <v>10</v>
  </rv>
  <rv s="2">
    <fb>796.15</fb>
    <v>10</v>
  </rv>
  <rv s="2">
    <fb>790.2</fb>
    <v>10</v>
  </rv>
  <rv s="2">
    <fb>795.4</fb>
    <v>10</v>
  </rv>
  <rv s="2">
    <fb>800.05</fb>
    <v>10</v>
  </rv>
  <rv s="2">
    <fb>797.05</fb>
    <v>10</v>
  </rv>
  <rv s="2">
    <fb>805.4</fb>
    <v>10</v>
  </rv>
  <rv s="2">
    <fb>820.35</fb>
    <v>10</v>
  </rv>
  <rv s="2">
    <fb>820.3</fb>
    <v>10</v>
  </rv>
  <rv s="2">
    <fb>812.9</fb>
    <v>10</v>
  </rv>
  <rv s="2">
    <fb>807.1</fb>
    <v>10</v>
  </rv>
  <rv s="2">
    <fb>811.85</fb>
    <v>10</v>
  </rv>
  <rv s="2">
    <fb>806.85</fb>
    <v>10</v>
  </rv>
  <rv s="2">
    <fb>812.65</fb>
    <v>10</v>
  </rv>
  <rv s="2">
    <fb>810.95</fb>
    <v>10</v>
  </rv>
  <rv s="2">
    <fb>808</fb>
    <v>10</v>
  </rv>
  <rv s="2">
    <fb>808.65</fb>
    <v>10</v>
  </rv>
  <rv s="2">
    <fb>808.85</fb>
    <v>10</v>
  </rv>
  <rv s="2">
    <fb>816.45</fb>
    <v>10</v>
  </rv>
  <rv s="2">
    <fb>831.7</fb>
    <v>10</v>
  </rv>
  <rv s="2">
    <fb>829</fb>
    <v>10</v>
  </rv>
  <rv s="2">
    <fb>823.35</fb>
    <v>10</v>
  </rv>
  <rv s="2">
    <fb>824.2</fb>
    <v>10</v>
  </rv>
  <rv s="2">
    <fb>815</fb>
    <v>10</v>
  </rv>
  <rv s="2">
    <fb>820.65</fb>
    <v>10</v>
  </rv>
  <rv s="2">
    <fb>815.7</fb>
    <v>10</v>
  </rv>
  <rv s="2">
    <fb>806.55</fb>
    <v>10</v>
  </rv>
  <rv s="2">
    <fb>797.15</fb>
    <v>10</v>
  </rv>
  <rv s="2">
    <fb>799.2</fb>
    <v>10</v>
  </rv>
  <rv s="2">
    <fb>794</fb>
    <v>10</v>
  </rv>
  <rv s="2">
    <fb>795.7</fb>
    <v>10</v>
  </rv>
  <rv s="2">
    <fb>800.6</fb>
    <v>10</v>
  </rv>
  <rv s="2">
    <fb>805.15</fb>
    <v>10</v>
  </rv>
  <rv s="2">
    <fb>804.3</fb>
    <v>10</v>
  </rv>
  <rv s="2">
    <fb>823.45</fb>
    <v>10</v>
  </rv>
  <rv s="2">
    <fb>820.6</fb>
    <v>10</v>
  </rv>
  <rv s="2">
    <fb>821.85</fb>
    <v>10</v>
  </rv>
  <rv s="2">
    <fb>826.55</fb>
    <v>10</v>
  </rv>
  <rv s="2">
    <fb>827.65</fb>
    <v>10</v>
  </rv>
  <rv s="2">
    <fb>830.4</fb>
    <v>10</v>
  </rv>
  <rv s="2">
    <fb>828.95</fb>
    <v>10</v>
  </rv>
  <rv s="2">
    <fb>825.7</fb>
    <v>10</v>
  </rv>
  <rv s="2">
    <fb>816.25</fb>
    <v>10</v>
  </rv>
  <rv s="2">
    <fb>807.85</fb>
    <v>10</v>
  </rv>
  <rv s="2">
    <fb>801.95</fb>
    <v>10</v>
  </rv>
  <rv s="2">
    <fb>802.5</fb>
    <v>10</v>
  </rv>
  <rv s="2">
    <fb>806.05</fb>
    <v>10</v>
  </rv>
  <rv s="2">
    <fb>803.9</fb>
    <v>10</v>
  </rv>
  <rv s="2">
    <fb>812.15</fb>
    <v>10</v>
  </rv>
  <rv s="2">
    <fb>809.4</fb>
    <v>10</v>
  </rv>
  <rv s="2">
    <fb>806.6</fb>
    <v>10</v>
  </rv>
  <rv s="2">
    <fb>808.8</fb>
    <v>10</v>
  </rv>
  <rv s="2">
    <fb>818.2</fb>
    <v>10</v>
  </rv>
  <rv s="2">
    <fb>823.65</fb>
    <v>10</v>
  </rv>
  <rv s="2">
    <fb>823.55</fb>
    <v>10</v>
  </rv>
  <rv s="2">
    <fb>824.75</fb>
    <v>10</v>
  </rv>
  <rv s="2">
    <fb>831.55</fb>
    <v>10</v>
  </rv>
  <rv s="2">
    <fb>857.15</fb>
    <v>10</v>
  </rv>
  <rv s="2">
    <fb>854.35</fb>
    <v>10</v>
  </rv>
  <rv s="2">
    <fb>862.35</fb>
    <v>10</v>
  </rv>
  <rv s="2">
    <fb>855.25</fb>
    <v>10</v>
  </rv>
  <rv s="2">
    <fb>870.6</fb>
    <v>10</v>
  </rv>
  <rv s="2">
    <fb>866.2</fb>
    <v>10</v>
  </rv>
  <rv s="2">
    <fb>861.15</fb>
    <v>10</v>
  </rv>
  <rv s="2">
    <fb>856.95</fb>
    <v>10</v>
  </rv>
  <rv s="2">
    <fb>870.75</fb>
    <v>10</v>
  </rv>
  <rv s="2">
    <fb>872.45</fb>
    <v>10</v>
  </rv>
  <rv s="2">
    <fb>864.1</fb>
    <v>10</v>
  </rv>
  <rv s="2">
    <fb>867.3</fb>
    <v>10</v>
  </rv>
  <rv s="2">
    <fb>874.05</fb>
    <v>10</v>
  </rv>
  <rv s="2">
    <fb>864.7</fb>
    <v>10</v>
  </rv>
  <rv s="2">
    <fb>858.25</fb>
    <v>10</v>
  </rv>
  <rv s="2">
    <fb>862.1</fb>
    <v>10</v>
  </rv>
  <rv s="2">
    <fb>880.65</fb>
    <v>10</v>
  </rv>
  <rv s="2">
    <fb>882.95</fb>
    <v>10</v>
  </rv>
  <rv s="2">
    <fb>876.95</fb>
    <v>10</v>
  </rv>
  <rv s="2">
    <fb>886.1</fb>
    <v>10</v>
  </rv>
  <rv s="2">
    <fb>886.95</fb>
    <v>10</v>
  </rv>
  <rv s="2">
    <fb>889.15</fb>
    <v>10</v>
  </rv>
  <rv s="2">
    <fb>907.5</fb>
    <v>10</v>
  </rv>
  <rv s="2">
    <fb>907.85</fb>
    <v>10</v>
  </rv>
  <rv s="2">
    <fb>911.55</fb>
    <v>10</v>
  </rv>
  <rv s="2">
    <fb>904.5</fb>
    <v>10</v>
  </rv>
  <rv s="2">
    <fb>922.75</fb>
    <v>10</v>
  </rv>
  <rv s="2">
    <fb>930.25</fb>
    <v>10</v>
  </rv>
  <rv s="2">
    <fb>939.75</fb>
    <v>10</v>
  </rv>
  <rv s="2">
    <fb>934.35</fb>
    <v>10</v>
  </rv>
  <rv s="2">
    <fb>937</fb>
    <v>10</v>
  </rv>
  <rv s="2">
    <fb>957.6</fb>
    <v>10</v>
  </rv>
  <rv s="2">
    <fb>960.75</fb>
    <v>10</v>
  </rv>
  <rv s="2">
    <fb>955.85</fb>
    <v>10</v>
  </rv>
  <rv s="2">
    <fb>951.15</fb>
    <v>10</v>
  </rv>
  <rv s="2">
    <fb>953.3</fb>
    <v>10</v>
  </rv>
  <rv s="2">
    <fb>957.15</fb>
    <v>10</v>
  </rv>
  <rv s="2">
    <fb>954</fb>
    <v>10</v>
  </rv>
  <rv s="2">
    <fb>967.85</fb>
    <v>10</v>
  </rv>
  <rv s="2">
    <fb>973.35</fb>
    <v>10</v>
  </rv>
  <rv s="2">
    <fb>972.45</fb>
    <v>10</v>
  </rv>
  <rv s="2">
    <fb>982.75</fb>
    <v>10</v>
  </rv>
  <rv s="2">
    <fb>981.55</fb>
    <v>10</v>
  </rv>
  <rv s="2">
    <fb>972.6</fb>
    <v>10</v>
  </rv>
  <rv s="2">
    <fb>970.6</fb>
    <v>10</v>
  </rv>
  <rv s="2">
    <fb>983.6</fb>
    <v>10</v>
  </rv>
  <rv s="2">
    <fb>983.9</fb>
    <v>10</v>
  </rv>
  <rv s="2">
    <fb>972.85</fb>
    <v>10</v>
  </rv>
  <rv s="2">
    <fb>979</fb>
    <v>10</v>
  </rv>
  <rv s="2">
    <fb>973.1</fb>
    <v>10</v>
  </rv>
  <rv s="2">
    <fb>948.1</fb>
    <v>10</v>
  </rv>
  <rv s="2">
    <fb>971.5</fb>
    <v>10</v>
  </rv>
  <rv s="2">
    <fb>956.4</fb>
    <v>10</v>
  </rv>
  <rv s="2">
    <fb>959.35</fb>
    <v>10</v>
  </rv>
  <rv s="2">
    <fb>959.75</fb>
    <v>10</v>
  </rv>
  <rv s="2">
    <fb>963.25</fb>
    <v>10</v>
  </rv>
  <rv s="2">
    <fb>963.15</fb>
    <v>10</v>
  </rv>
  <rv s="2">
    <fb>967.25</fb>
    <v>10</v>
  </rv>
  <rv s="2">
    <fb>961.15</fb>
    <v>10</v>
  </rv>
  <rv s="2">
    <fb>975.85</fb>
    <v>10</v>
  </rv>
  <rv s="2">
    <fb>977.55</fb>
    <v>10</v>
  </rv>
  <rv s="2">
    <fb>980.3</fb>
    <v>10</v>
  </rv>
  <rv s="2">
    <fb>974.3</fb>
    <v>10</v>
  </rv>
  <rv s="2">
    <fb>971.9</fb>
    <v>10</v>
  </rv>
  <rv s="2">
    <fb>968.95</fb>
    <v>10</v>
  </rv>
  <rv s="2">
    <fb>966.3</fb>
    <v>10</v>
  </rv>
  <rv s="2">
    <fb>965.05</fb>
    <v>10</v>
  </rv>
  <rv s="2">
    <fb>982.2</fb>
    <v>10</v>
  </rv>
  <rv s="2">
    <fb>984.75</fb>
    <v>10</v>
  </rv>
  <rv s="2">
    <fb>998.95</fb>
    <v>10</v>
  </rv>
  <rv s="2">
    <fb>1005.55</fb>
    <v>10</v>
  </rv>
  <rv s="2">
    <fb>1018.9</fb>
    <v>10</v>
  </rv>
  <rv s="2">
    <fb>1007.15</fb>
    <v>10</v>
  </rv>
  <rv s="2">
    <fb>998</fb>
    <v>10</v>
  </rv>
  <rv s="2">
    <fb>1015.15</fb>
    <v>10</v>
  </rv>
  <rv s="2">
    <fb>1028.45</fb>
    <v>10</v>
  </rv>
  <rv s="2">
    <fb>1028.3499999999999</fb>
    <v>10</v>
  </rv>
  <rv s="2">
    <fb>1042.3</fb>
    <v>10</v>
  </rv>
  <rv s="2">
    <fb>1038.4000000000001</fb>
    <v>10</v>
  </rv>
  <rv s="2">
    <fb>1036.4000000000001</fb>
    <v>10</v>
  </rv>
  <rv s="2">
    <fb>1028.6500000000001</fb>
    <v>10</v>
  </rv>
  <rv s="2">
    <fb>1048.3499999999999</fb>
    <v>10</v>
  </rv>
  <rv s="2">
    <fb>1029.5</fb>
    <v>10</v>
  </rv>
  <rv s="2">
    <fb>1053.1500000000001</fb>
    <v>10</v>
  </rv>
  <rv s="2">
    <fb>1063.5</fb>
    <v>10</v>
  </rv>
  <rv s="2">
    <fb>1066.2</fb>
    <v>10</v>
  </rv>
  <rv s="2">
    <fb>1077.1500000000001</fb>
    <v>10</v>
  </rv>
  <rv s="2">
    <fb>1018.2</fb>
    <v>10</v>
  </rv>
  <rv s="2">
    <fb>1028.7</fb>
    <v>10</v>
  </rv>
  <rv s="2">
    <fb>1064.2</fb>
    <v>10</v>
  </rv>
  <rv s="2">
    <fb>1068.2</fb>
    <v>10</v>
  </rv>
  <rv s="2">
    <fb>1073.5</fb>
    <v>10</v>
  </rv>
  <rv s="2">
    <fb>1066.4000000000001</fb>
    <v>10</v>
  </rv>
  <rv s="2">
    <fb>1146</fb>
    <v>10</v>
  </rv>
  <rv s="2">
    <fb>1144.0999999999999</fb>
    <v>10</v>
  </rv>
  <rv s="2">
    <fb>1182.9000000000001</fb>
    <v>10</v>
  </rv>
  <rv s="2">
    <fb>1192.4000000000001</fb>
    <v>10</v>
  </rv>
  <rv s="2">
    <fb>1198.5999999999999</fb>
    <v>10</v>
  </rv>
  <rv s="2">
    <fb>1208.0999999999999</fb>
    <v>10</v>
  </rv>
  <rv s="2">
    <fb>1213.4000000000001</fb>
    <v>10</v>
  </rv>
  <rv s="2">
    <fb>1218.9000000000001</fb>
    <v>10</v>
  </rv>
  <rv s="2">
    <fb>1205.7</fb>
    <v>10</v>
  </rv>
  <rv s="2">
    <fb>1216.0999999999999</fb>
    <v>10</v>
  </rv>
  <rv s="3">
    <v>https://www.bing.com/financeapi/forcetrigger?t=ahk6a2&amp;q=XNSE%3aSUNPHARMA&amp;form=skydnc</v>
    <v>Learn more on Bing</v>
  </rv>
  <rv s="4">
    <v>en-IN</v>
    <v>ahk6a2</v>
    <v>268435456</v>
    <v>1</v>
    <v>Powered by Refinitiv</v>
    <v>6</v>
    <v>SUN PHARMACEUTICAL INDUSTRIES LIMITED (XNSE:SUNPHARMA)</v>
    <v>7</v>
    <v>8</v>
    <v>Finance</v>
    <v>14</v>
    <v>1851.2</v>
    <v>1548</v>
    <v>0.8841</v>
    <v>11</v>
    <v>6.4200000000000004E-3</v>
    <v>INR</v>
    <v>Sun Pharmaceutical Industries Limited is an India-based specialty generic pharmaceutical company with a presence in specialty, generics and consumer healthcare products. The Company's global specialty portfolio spans products in dermatology, ophthalmology, and onco-dermatologym, among others. The Company manufactures and markets a large basket of pharmaceutical formulations across chronic and acute therapies, including generic, branded generics, specialty and complex products, over-the-counter (OTC), antiretrovirals (ARV), Active Pharmaceutical Ingredients (API), and intermediates. Its portfolio spans multiple dosage forms, such as tablets, capsules, injectables, inhalers, ointments, creams, and liquids. Its marketed specialty portfolio includes Ilumya/ Ilumetri, Winlevi, Levulan Kerastick + BLU-U, Absorica LD, Odomzo, Cequa, Bromsite, Xelpros, and others. Its portfolio also includes UNLOXCYTTM, an anti-PD-L1 treatment for advanced cutaneous squamous cell carcinoma.</v>
    <v>43000</v>
    <v>National Stock Exchange of India</v>
    <v>XNSE</v>
    <v>XNSE</v>
    <v>Sun House,, CTS No. 201 B/1,, Western Express Highway,Goregaon (E),, MUMBAI, MAHARASHTRA, 400063 IN</v>
    <v>1727</v>
    <v>Pharmaceuticals</v>
    <v>Stock</v>
    <v>46073.464641203704</v>
    <v>1045</v>
    <v>1708.1</v>
    <v>4147730000000</v>
    <v>SUN PHARMACEUTICAL INDUSTRIES LIMITED</v>
    <v>SUN PHARMACEUTICAL INDUSTRIES LIMITED</v>
    <v>1710.1</v>
    <v>39.21</v>
    <v>1713.4</v>
    <v>1724.4</v>
    <v>2399335000</v>
    <v>SUNPHARMA</v>
    <v>SUN PHARMACEUTICAL INDUSTRIES LIMITED (XNSE:SUNPHARMA)</v>
    <v>1203988</v>
    <v>1411120</v>
    <v>1993</v>
  </rv>
  <rv s="1">
    <v>1046</v>
  </rv>
  <rv s="2">
    <fb>1639.5</fb>
    <v>10</v>
  </rv>
  <rv s="2">
    <fb>1613.6</fb>
    <v>10</v>
  </rv>
  <rv s="2">
    <fb>1647.5</fb>
    <v>10</v>
  </rv>
  <rv s="2">
    <fb>1593.25</fb>
    <v>10</v>
  </rv>
  <rv s="2">
    <fb>1585.1</fb>
    <v>10</v>
  </rv>
  <rv s="2">
    <fb>1566.5</fb>
    <v>10</v>
  </rv>
  <rv s="2">
    <fb>1582.45</fb>
    <v>10</v>
  </rv>
  <rv s="2">
    <fb>1614</fb>
    <v>10</v>
  </rv>
  <rv s="2">
    <fb>1609.3</fb>
    <v>10</v>
  </rv>
  <rv s="2">
    <fb>1611.5</fb>
    <v>10</v>
  </rv>
  <rv s="2">
    <fb>1655.3</fb>
    <v>10</v>
  </rv>
  <rv s="2">
    <fb>1676.85</fb>
    <v>10</v>
  </rv>
  <rv s="2">
    <fb>1683.45</fb>
    <v>10</v>
  </rv>
  <rv s="2">
    <fb>1704.3</fb>
    <v>10</v>
  </rv>
  <rv s="2">
    <fb>1747.8</fb>
    <v>10</v>
  </rv>
  <rv s="2">
    <fb>1732.35</fb>
    <v>10</v>
  </rv>
  <rv s="2">
    <fb>1750.25</fb>
    <v>10</v>
  </rv>
  <rv s="2">
    <fb>1784.5</fb>
    <v>10</v>
  </rv>
  <rv s="2">
    <fb>1784.8</fb>
    <v>10</v>
  </rv>
  <rv s="2">
    <fb>1764.75</fb>
    <v>10</v>
  </rv>
  <rv s="2">
    <fb>1758.95</fb>
    <v>10</v>
  </rv>
  <rv s="2">
    <fb>1731.45</fb>
    <v>10</v>
  </rv>
  <rv s="2">
    <fb>1734.7</fb>
    <v>10</v>
  </rv>
  <rv s="2">
    <fb>1698.35</fb>
    <v>10</v>
  </rv>
  <rv s="2">
    <fb>1713.65</fb>
    <v>10</v>
  </rv>
  <rv s="2">
    <fb>1770</fb>
    <v>10</v>
  </rv>
  <rv s="2">
    <fb>1709.35</fb>
    <v>10</v>
  </rv>
  <rv s="2">
    <fb>1666.35</fb>
    <v>10</v>
  </rv>
  <rv s="2">
    <fb>1688.35</fb>
    <v>10</v>
  </rv>
  <rv s="2">
    <fb>1652.2</fb>
    <v>10</v>
  </rv>
  <rv s="2">
    <fb>1687.55</fb>
    <v>10</v>
  </rv>
  <rv s="2">
    <fb>1705</fb>
    <v>10</v>
  </rv>
  <rv s="2">
    <fb>1693.1</fb>
    <v>10</v>
  </rv>
  <rv s="2">
    <fb>1751.5</fb>
    <v>10</v>
  </rv>
  <rv s="2">
    <fb>1744.9</fb>
    <v>10</v>
  </rv>
  <rv s="2">
    <fb>1747.4</fb>
    <v>10</v>
  </rv>
  <rv s="2">
    <fb>1788.8</fb>
    <v>10</v>
  </rv>
  <rv s="2">
    <fb>1803.9</fb>
    <v>10</v>
  </rv>
  <rv s="2">
    <fb>1787.4</fb>
    <v>10</v>
  </rv>
  <rv s="2">
    <fb>1841.6</fb>
    <v>10</v>
  </rv>
  <rv s="2">
    <fb>1805.5</fb>
    <v>10</v>
  </rv>
  <rv s="2">
    <fb>1832.3</fb>
    <v>10</v>
  </rv>
  <rv s="2">
    <fb>1829.4</fb>
    <v>10</v>
  </rv>
  <rv s="2">
    <fb>1836.6</fb>
    <v>10</v>
  </rv>
  <rv s="2">
    <fb>1819.1</fb>
    <v>10</v>
  </rv>
  <rv s="2">
    <fb>1781.3</fb>
    <v>10</v>
  </rv>
  <rv s="2">
    <fb>1767.2</fb>
    <v>10</v>
  </rv>
  <rv s="2">
    <fb>1744.8</fb>
    <v>10</v>
  </rv>
  <rv s="2">
    <fb>1686.2</fb>
    <v>10</v>
  </rv>
  <rv s="2">
    <fb>1700</fb>
    <v>10</v>
  </rv>
  <rv s="2">
    <fb>1708.2</fb>
    <v>10</v>
  </rv>
  <rv s="2">
    <fb>1740.1</fb>
    <v>10</v>
  </rv>
  <rv s="2">
    <fb>1734.9</fb>
    <v>10</v>
  </rv>
  <rv s="2">
    <fb>1730.2</fb>
    <v>10</v>
  </rv>
  <rv s="2">
    <fb>1707.8</fb>
    <v>10</v>
  </rv>
  <rv s="2">
    <fb>1731.8</fb>
    <v>10</v>
  </rv>
  <rv s="2">
    <fb>1718.7</fb>
    <v>10</v>
  </rv>
  <rv s="2">
    <fb>1683.6</fb>
    <v>10</v>
  </rv>
  <rv s="2">
    <fb>1676.1</fb>
    <v>10</v>
  </rv>
  <rv s="2">
    <fb>1683.4</fb>
    <v>10</v>
  </rv>
  <rv s="2">
    <fb>1666.4</fb>
    <v>10</v>
  </rv>
  <rv s="2">
    <fb>1699.8</fb>
    <v>10</v>
  </rv>
  <rv s="2">
    <fb>1677.6</fb>
    <v>10</v>
  </rv>
  <rv s="2">
    <fb>1674.6</fb>
    <v>10</v>
  </rv>
  <rv s="2">
    <fb>1667.5</fb>
    <v>10</v>
  </rv>
  <rv s="2">
    <fb>1664.9</fb>
    <v>10</v>
  </rv>
  <rv s="2">
    <fb>1683.1</fb>
    <v>10</v>
  </rv>
  <rv s="2">
    <fb>1679.2</fb>
    <v>10</v>
  </rv>
  <rv s="2">
    <fb>1694.4</fb>
    <v>10</v>
  </rv>
  <rv s="2">
    <fb>1688.8</fb>
    <v>10</v>
  </rv>
  <rv s="2">
    <fb>1690.6</fb>
    <v>10</v>
  </rv>
  <rv s="2">
    <fb>1687.4</fb>
    <v>10</v>
  </rv>
  <rv s="2">
    <fb>1687.8</fb>
    <v>10</v>
  </rv>
  <rv s="2">
    <fb>1685.3</fb>
    <v>10</v>
  </rv>
  <rv s="2">
    <fb>1650.2</fb>
    <v>10</v>
  </rv>
  <rv s="2">
    <fb>1648</fb>
    <v>10</v>
  </rv>
  <rv s="2">
    <fb>1647.6</fb>
    <v>10</v>
  </rv>
  <rv s="2">
    <fb>1665.1</fb>
    <v>10</v>
  </rv>
  <rv s="2">
    <fb>1662.5</fb>
    <v>10</v>
  </rv>
  <rv s="2">
    <fb>1661.7</fb>
    <v>10</v>
  </rv>
  <rv s="2">
    <fb>1669.6</fb>
    <v>10</v>
  </rv>
  <rv s="2">
    <fb>1669.8</fb>
    <v>10</v>
  </rv>
  <rv s="2">
    <fb>1687.6</fb>
    <v>10</v>
  </rv>
  <rv s="2">
    <fb>1675.7</fb>
    <v>10</v>
  </rv>
  <rv s="2">
    <fb>1667.2</fb>
    <v>10</v>
  </rv>
  <rv s="2">
    <fb>1677.5</fb>
    <v>10</v>
  </rv>
  <rv s="2">
    <fb>1679.7</fb>
    <v>10</v>
  </rv>
  <rv s="2">
    <fb>1676.3</fb>
    <v>10</v>
  </rv>
  <rv s="2">
    <fb>1679.9</fb>
    <v>10</v>
  </rv>
  <rv s="2">
    <fb>1672.5</fb>
    <v>10</v>
  </rv>
  <rv s="2">
    <fb>1669.4</fb>
    <v>10</v>
  </rv>
  <rv s="2">
    <fb>1672</fb>
    <v>10</v>
  </rv>
  <rv s="2">
    <fb>1682.6</fb>
    <v>10</v>
  </rv>
  <rv s="2">
    <fb>1727.5</fb>
    <v>10</v>
  </rv>
  <rv s="2">
    <fb>1701</fb>
    <v>10</v>
  </rv>
  <rv s="2">
    <fb>1703.4</fb>
    <v>10</v>
  </rv>
  <rv s="2">
    <fb>1693.6</fb>
    <v>10</v>
  </rv>
  <rv s="2">
    <fb>1692.3</fb>
    <v>10</v>
  </rv>
  <rv s="2">
    <fb>1678</fb>
    <v>10</v>
  </rv>
  <rv s="2">
    <fb>1682.5</fb>
    <v>10</v>
  </rv>
  <rv s="2">
    <fb>1692</fb>
    <v>10</v>
  </rv>
  <rv s="2">
    <fb>1699</fb>
    <v>10</v>
  </rv>
  <rv s="2">
    <fb>1702.2</fb>
    <v>10</v>
  </rv>
  <rv s="2">
    <fb>1710.5</fb>
    <v>10</v>
  </rv>
  <rv s="2">
    <fb>1733.8</fb>
    <v>10</v>
  </rv>
  <rv s="2">
    <fb>1706.7</fb>
    <v>10</v>
  </rv>
  <rv s="2">
    <fb>1629.7</fb>
    <v>10</v>
  </rv>
  <rv s="2">
    <fb>1641.6</fb>
    <v>10</v>
  </rv>
  <rv s="2">
    <fb>1632.1</fb>
    <v>10</v>
  </rv>
  <rv s="2">
    <fb>1595.2</fb>
    <v>10</v>
  </rv>
  <rv s="2">
    <fb>1598.4</fb>
    <v>10</v>
  </rv>
  <rv s="2">
    <fb>1586.9</fb>
    <v>10</v>
  </rv>
  <rv s="2">
    <fb>1608.4</fb>
    <v>10</v>
  </rv>
  <rv s="2">
    <fb>1622.2</fb>
    <v>10</v>
  </rv>
  <rv s="2">
    <fb>1639.8</fb>
    <v>10</v>
  </rv>
  <rv s="2">
    <fb>1641.4</fb>
    <v>10</v>
  </rv>
  <rv s="2">
    <fb>1632.7</fb>
    <v>10</v>
  </rv>
  <rv s="2">
    <fb>1626.6</fb>
    <v>10</v>
  </rv>
  <rv s="2">
    <fb>1633.1</fb>
    <v>10</v>
  </rv>
  <rv s="2">
    <fb>1640.2</fb>
    <v>10</v>
  </rv>
  <rv s="2">
    <fb>1641.8</fb>
    <v>10</v>
  </rv>
  <rv s="2">
    <fb>1656.7</fb>
    <v>10</v>
  </rv>
  <rv s="2">
    <fb>1600.3</fb>
    <v>10</v>
  </rv>
  <rv s="2">
    <fb>1585.7</fb>
    <v>10</v>
  </rv>
  <rv s="2">
    <fb>1594.5</fb>
    <v>10</v>
  </rv>
  <rv s="2">
    <fb>1563.3</fb>
    <v>10</v>
  </rv>
  <rv s="2">
    <fb>1565.2</fb>
    <v>10</v>
  </rv>
  <rv s="2">
    <fb>1578.7</fb>
    <v>10</v>
  </rv>
  <rv s="2">
    <fb>1582.3</fb>
    <v>10</v>
  </rv>
  <rv s="2">
    <fb>1593.6</fb>
    <v>10</v>
  </rv>
  <rv s="2">
    <fb>1581</fb>
    <v>10</v>
  </rv>
  <rv s="2">
    <fb>1591.7</fb>
    <v>10</v>
  </rv>
  <rv s="2">
    <fb>1593.4</fb>
    <v>10</v>
  </rv>
  <rv s="2">
    <fb>1609.7</fb>
    <v>10</v>
  </rv>
  <rv s="2">
    <fb>1616.6</fb>
    <v>10</v>
  </rv>
  <rv s="2">
    <fb>1602</fb>
    <v>10</v>
  </rv>
  <rv s="2">
    <fb>1610.5</fb>
    <v>10</v>
  </rv>
  <rv s="2">
    <fb>1620.2</fb>
    <v>10</v>
  </rv>
  <rv s="2">
    <fb>1648.6</fb>
    <v>10</v>
  </rv>
  <rv s="2">
    <fb>1656</fb>
    <v>10</v>
  </rv>
  <rv s="2">
    <fb>1644</fb>
    <v>10</v>
  </rv>
  <rv s="2">
    <fb>1631.2</fb>
    <v>10</v>
  </rv>
  <rv s="2">
    <fb>1627.1</fb>
    <v>10</v>
  </rv>
  <rv s="2">
    <fb>1627.4</fb>
    <v>10</v>
  </rv>
  <rv s="2">
    <fb>1586.7</fb>
    <v>10</v>
  </rv>
  <rv s="2">
    <fb>1589.3</fb>
    <v>10</v>
  </rv>
  <rv s="2">
    <fb>1594.3</fb>
    <v>10</v>
  </rv>
  <rv s="2">
    <fb>1636.2</fb>
    <v>10</v>
  </rv>
  <rv s="2">
    <fb>1654.7</fb>
    <v>10</v>
  </rv>
  <rv s="2">
    <fb>1653.1</fb>
    <v>10</v>
  </rv>
  <rv s="2">
    <fb>1631.6</fb>
    <v>10</v>
  </rv>
  <rv s="2">
    <fb>1658.5</fb>
    <v>10</v>
  </rv>
  <rv s="2">
    <fb>1670.9</fb>
    <v>10</v>
  </rv>
  <rv s="2">
    <fb>1668.4</fb>
    <v>10</v>
  </rv>
  <rv s="2">
    <fb>1654.4</fb>
    <v>10</v>
  </rv>
  <rv s="2">
    <fb>1655.1</fb>
    <v>10</v>
  </rv>
  <rv s="2">
    <fb>1659</fb>
    <v>10</v>
  </rv>
  <rv s="2">
    <fb>1679.1</fb>
    <v>10</v>
  </rv>
  <rv s="2">
    <fb>1688.6</fb>
    <v>10</v>
  </rv>
  <rv s="2">
    <fb>1690.5</fb>
    <v>10</v>
  </rv>
  <rv s="2">
    <fb>1689.9</fb>
    <v>10</v>
  </rv>
  <rv s="2">
    <fb>1687</fb>
    <v>10</v>
  </rv>
  <rv s="2">
    <fb>1715.9</fb>
    <v>10</v>
  </rv>
  <rv s="2">
    <fb>1690.7</fb>
    <v>10</v>
  </rv>
  <rv s="2">
    <fb>1706.4</fb>
    <v>10</v>
  </rv>
  <rv s="2">
    <fb>1690</fb>
    <v>10</v>
  </rv>
  <rv s="2">
    <fb>1685.9</fb>
    <v>10</v>
  </rv>
  <rv s="2">
    <fb>1691.4</fb>
    <v>10</v>
  </rv>
  <rv s="2">
    <fb>1697.8</fb>
    <v>10</v>
  </rv>
  <rv s="2">
    <fb>1716.1</fb>
    <v>10</v>
  </rv>
  <rv s="2">
    <fb>1732.1</fb>
    <v>10</v>
  </rv>
  <rv s="2">
    <fb>1737.4</fb>
    <v>10</v>
  </rv>
  <rv s="2">
    <fb>1757.1</fb>
    <v>10</v>
  </rv>
  <rv s="2">
    <fb>1763.9</fb>
    <v>10</v>
  </rv>
  <rv s="2">
    <fb>1758.8</fb>
    <v>10</v>
  </rv>
  <rv s="2">
    <fb>1784.1</fb>
    <v>10</v>
  </rv>
  <rv s="2">
    <fb>1777.4</fb>
    <v>10</v>
  </rv>
  <rv s="2">
    <fb>1779.7</fb>
    <v>10</v>
  </rv>
  <rv s="2">
    <fb>1780.8</fb>
    <v>10</v>
  </rv>
  <rv s="2">
    <fb>1776.8</fb>
    <v>10</v>
  </rv>
  <rv s="2">
    <fb>1804.9</fb>
    <v>10</v>
  </rv>
  <rv s="2">
    <fb>1810.3</fb>
    <v>10</v>
  </rv>
  <rv s="2">
    <fb>1831.6</fb>
    <v>10</v>
  </rv>
  <rv s="2">
    <fb>1807.4</fb>
    <v>10</v>
  </rv>
  <rv s="2">
    <fb>1799.5</fb>
    <v>10</v>
  </rv>
  <rv s="2">
    <fb>1806.7</fb>
    <v>10</v>
  </rv>
  <rv s="2">
    <fb>1818.3</fb>
    <v>10</v>
  </rv>
  <rv s="2">
    <fb>1805.3</fb>
    <v>10</v>
  </rv>
  <rv s="2">
    <fb>1796.2</fb>
    <v>10</v>
  </rv>
  <rv s="2">
    <fb>1776</fb>
    <v>10</v>
  </rv>
  <rv s="2">
    <fb>1785.5</fb>
    <v>10</v>
  </rv>
  <rv s="2">
    <fb>1807.2</fb>
    <v>10</v>
  </rv>
  <rv s="2">
    <fb>1793.5</fb>
    <v>10</v>
  </rv>
  <rv s="2">
    <fb>1797.1</fb>
    <v>10</v>
  </rv>
  <rv s="2">
    <fb>1792.9</fb>
    <v>10</v>
  </rv>
  <rv s="2">
    <fb>1745.9</fb>
    <v>10</v>
  </rv>
  <rv s="2">
    <fb>1769.8</fb>
    <v>10</v>
  </rv>
  <rv s="2">
    <fb>1755.9</fb>
    <v>10</v>
  </rv>
  <rv s="2">
    <fb>1737</fb>
    <v>10</v>
  </rv>
  <rv s="2">
    <fb>1719.5</fb>
    <v>10</v>
  </rv>
  <rv s="2">
    <fb>1717.2</fb>
    <v>10</v>
  </rv>
  <rv s="2">
    <fb>1720.2</fb>
    <v>10</v>
  </rv>
  <rv s="2">
    <fb>1719.7</fb>
    <v>10</v>
  </rv>
  <rv s="2">
    <fb>1721.1</fb>
    <v>10</v>
  </rv>
  <rv s="2">
    <fb>1728</fb>
    <v>10</v>
  </rv>
  <rv s="2">
    <fb>1728.9</fb>
    <v>10</v>
  </rv>
  <rv s="2">
    <fb>1760.2</fb>
    <v>10</v>
  </rv>
  <rv s="2">
    <fb>1782.6</fb>
    <v>10</v>
  </rv>
  <rv s="2">
    <fb>1760.7</fb>
    <v>10</v>
  </rv>
  <rv s="2">
    <fb>1729.9</fb>
    <v>10</v>
  </rv>
  <rv s="2">
    <fb>1736</fb>
    <v>10</v>
  </rv>
  <rv s="2">
    <fb>1728.7</fb>
    <v>10</v>
  </rv>
  <rv s="2">
    <fb>1700.7</fb>
    <v>10</v>
  </rv>
  <rv s="2">
    <fb>1668.9</fb>
    <v>10</v>
  </rv>
  <rv s="2">
    <fb>1675.4</fb>
    <v>10</v>
  </rv>
  <rv s="2">
    <fb>1613.8</fb>
    <v>10</v>
  </rv>
  <rv s="2">
    <fb>1612.9</fb>
    <v>10</v>
  </rv>
  <rv s="2">
    <fb>1634.2</fb>
    <v>10</v>
  </rv>
  <rv s="2">
    <fb>1631.9</fb>
    <v>10</v>
  </rv>
  <rv s="2">
    <fb>1638.9</fb>
    <v>10</v>
  </rv>
  <rv s="2">
    <fb>1610.6</fb>
    <v>10</v>
  </rv>
  <rv s="2">
    <fb>1595.3</fb>
    <v>10</v>
  </rv>
  <rv s="2">
    <fb>1610.1</fb>
    <v>10</v>
  </rv>
  <rv s="2">
    <fb>1627.9</fb>
    <v>10</v>
  </rv>
  <rv s="2">
    <fb>1702.1</fb>
    <v>10</v>
  </rv>
  <rv s="2">
    <fb>1704.4</fb>
    <v>10</v>
  </rv>
  <rv s="2">
    <fb>1702.6</fb>
    <v>10</v>
  </rv>
  <rv s="2">
    <fb>1695.1</fb>
    <v>10</v>
  </rv>
  <rv s="2">
    <fb>1704.6</fb>
    <v>10</v>
  </rv>
  <rv s="2">
    <fb>1711.1</fb>
    <v>10</v>
  </rv>
  <rv s="2">
    <fb>1714.9</fb>
    <v>10</v>
  </rv>
  <rv s="2">
    <fb>1697.5</fb>
    <v>10</v>
  </rv>
  <rv s="2">
    <fb>1700.5</fb>
    <v>10</v>
  </rv>
  <rv s="2">
    <fb>1717.1</fb>
    <v>10</v>
  </rv>
  <rv s="2">
    <fb>1724.4</fb>
    <v>10</v>
  </rv>
  <rv s="2">
    <fb>1713.4</fb>
    <v>10</v>
  </rv>
  <rv s="3">
    <v>https://www.bing.com/financeapi/forcetrigger?t=ahh7zr&amp;q=XNSE%3aBIOCON&amp;form=skydnc</v>
    <v>Learn more on Bing</v>
  </rv>
  <rv s="4">
    <v>en-IN</v>
    <v>ahh7zr</v>
    <v>268435456</v>
    <v>1</v>
    <v>Powered by Refinitiv</v>
    <v>6</v>
    <v>BIOCON LIMITED (XNSE:BIOCON)</v>
    <v>7</v>
    <v>8</v>
    <v>Finance</v>
    <v>14</v>
    <v>424.95</v>
    <v>291</v>
    <v>0.93879999999999997</v>
    <v>1.3</v>
    <v>3.3969999999999998E-3</v>
    <v>INR</v>
    <v>Biocon Limited is an India-based biopharmaceutical company, engaged in the manufacture of biotechnology products and research services. The Company is in the business of manufacturing active pharmaceutical ingredients (APIs) and formulations, including biosimilar drugs for diabetics, oncology and autoimmune diseases. The Company’s segment includes Generics, Biosimilars, Novel Biologics and Research Services. It focuses on three key therapeutic areas - Oncology, Diabetes, and Immunology. Its APIs portfolio includes cardiovascular, anti-diabetics, immunosuppressants, and specialty molecules. Its products include Tacrolimus, Rosuvastatin, Simvastatin, Atorvastatin, Pravastatin, Fingolimod and others. Its APIs manufacturing facilities with capabilities in microbial fermentation, downstream process, including chromatographic purification, chemical synthesis, peptide synthesis and Highly Potent APIs (HPAPIs). It has over five facilities in Bangalore, Hyderabad and Visakhapatnam in India.</v>
    <v>3442</v>
    <v>National Stock Exchange of India</v>
    <v>XNSE</v>
    <v>XNSE</v>
    <v>20th KM, Hosur Road, Electronic City,, BANGALORE, KARNATAKA, 560100 IN</v>
    <v>388.75</v>
    <v>Biotechnology &amp; Medical Research</v>
    <v>Stock</v>
    <v>46073.46465277778</v>
    <v>1284</v>
    <v>381.65</v>
    <v>568465400000</v>
    <v>BIOCON LIMITED</v>
    <v>BIOCON LIMITED</v>
    <v>384.1</v>
    <v>78.41</v>
    <v>382.65</v>
    <v>383.95</v>
    <v>1619331000</v>
    <v>BIOCON</v>
    <v>BIOCON LIMITED (XNSE:BIOCON)</v>
    <v>3482530</v>
    <v>3062560</v>
    <v>1978</v>
  </rv>
  <rv s="1">
    <v>1285</v>
  </rv>
  <rv s="2">
    <fb>320.85000000000002</fb>
    <v>10</v>
  </rv>
  <rv s="2">
    <fb>321.2</fb>
    <v>10</v>
  </rv>
  <rv s="2">
    <fb>311.85000000000002</fb>
    <v>10</v>
  </rv>
  <rv s="2">
    <fb>302.45</fb>
    <v>10</v>
  </rv>
  <rv s="2">
    <fb>305.05</fb>
    <v>10</v>
  </rv>
  <rv s="2">
    <fb>314.8</fb>
    <v>10</v>
  </rv>
  <rv s="2">
    <fb>324.85000000000002</fb>
    <v>10</v>
  </rv>
  <rv s="2">
    <fb>333</fb>
    <v>10</v>
  </rv>
  <rv s="2">
    <fb>333.7</fb>
    <v>10</v>
  </rv>
  <rv s="2">
    <fb>328.15</fb>
    <v>10</v>
  </rv>
  <rv s="2">
    <fb>328.9</fb>
    <v>10</v>
  </rv>
  <rv s="2">
    <fb>325.10000000000002</fb>
    <v>10</v>
  </rv>
  <rv s="2">
    <fb>323.05</fb>
    <v>10</v>
  </rv>
  <rv s="2">
    <fb>333.25</fb>
    <v>10</v>
  </rv>
  <rv s="2">
    <fb>336.35</fb>
    <v>10</v>
  </rv>
  <rv s="2">
    <fb>341.9</fb>
    <v>10</v>
  </rv>
  <rv s="2">
    <fb>341.1</fb>
    <v>10</v>
  </rv>
  <rv s="2">
    <fb>344.1</fb>
    <v>10</v>
  </rv>
  <rv s="2">
    <fb>349.3</fb>
    <v>10</v>
  </rv>
  <rv s="2">
    <fb>348.15</fb>
    <v>10</v>
  </rv>
  <rv s="2">
    <fb>348.3</fb>
    <v>10</v>
  </rv>
  <rv s="2">
    <fb>345.55</fb>
    <v>10</v>
  </rv>
  <rv s="2">
    <fb>341.7</fb>
    <v>10</v>
  </rv>
  <rv s="2">
    <fb>339.1</fb>
    <v>10</v>
  </rv>
  <rv s="2">
    <fb>342.05</fb>
    <v>10</v>
  </rv>
  <rv s="2">
    <fb>345.75</fb>
    <v>10</v>
  </rv>
  <rv s="2">
    <fb>327.8</fb>
    <v>10</v>
  </rv>
  <rv s="2">
    <fb>307.5</fb>
    <v>10</v>
  </rv>
  <rv s="2">
    <fb>322.3</fb>
    <v>10</v>
  </rv>
  <rv s="2">
    <fb>306.3</fb>
    <v>10</v>
  </rv>
  <rv s="2">
    <fb>316.55</fb>
    <v>10</v>
  </rv>
  <rv s="2">
    <fb>328.85</fb>
    <v>10</v>
  </rv>
  <rv s="2">
    <fb>329.15</fb>
    <v>10</v>
  </rv>
  <rv s="2">
    <fb>331.3</fb>
    <v>10</v>
  </rv>
  <rv s="2">
    <fb>331.9</fb>
    <v>10</v>
  </rv>
  <rv s="2">
    <fb>333.8</fb>
    <v>10</v>
  </rv>
  <rv s="2">
    <fb>335.7</fb>
    <v>10</v>
  </rv>
  <rv s="2">
    <fb>326.75</fb>
    <v>10</v>
  </rv>
  <rv s="2">
    <fb>318.85000000000002</fb>
    <v>10</v>
  </rv>
  <rv s="2">
    <fb>321.8</fb>
    <v>10</v>
  </rv>
  <rv s="2">
    <fb>318.89999999999998</fb>
    <v>10</v>
  </rv>
  <rv s="2">
    <fb>335.9</fb>
    <v>10</v>
  </rv>
  <rv s="2">
    <fb>341.45</fb>
    <v>10</v>
  </rv>
  <rv s="2">
    <fb>346.5</fb>
    <v>10</v>
  </rv>
  <rv s="2">
    <fb>334.6</fb>
    <v>10</v>
  </rv>
  <rv s="2">
    <fb>329.9</fb>
    <v>10</v>
  </rv>
  <rv s="2">
    <fb>329.85</fb>
    <v>10</v>
  </rv>
  <rv s="2">
    <fb>338.2</fb>
    <v>10</v>
  </rv>
  <rv s="2">
    <fb>338.6</fb>
    <v>10</v>
  </rv>
  <rv s="2">
    <fb>339.4</fb>
    <v>10</v>
  </rv>
  <rv s="2">
    <fb>341.6</fb>
    <v>10</v>
  </rv>
  <rv s="2">
    <fb>332.5</fb>
    <v>10</v>
  </rv>
  <rv s="2">
    <fb>340.65</fb>
    <v>10</v>
  </rv>
  <rv s="2">
    <fb>333.1</fb>
    <v>10</v>
  </rv>
  <rv s="2">
    <fb>330.75</fb>
    <v>10</v>
  </rv>
  <rv s="2">
    <fb>332.35</fb>
    <v>10</v>
  </rv>
  <rv s="2">
    <fb>335.05</fb>
    <v>10</v>
  </rv>
  <rv s="2">
    <fb>334.35</fb>
    <v>10</v>
  </rv>
  <rv s="2">
    <fb>335.6</fb>
    <v>10</v>
  </rv>
  <rv s="2">
    <fb>335.85</fb>
    <v>10</v>
  </rv>
  <rv s="2">
    <fb>334</fb>
    <v>10</v>
  </rv>
  <rv s="2">
    <fb>337.2</fb>
    <v>10</v>
  </rv>
  <rv s="2">
    <fb>336.4</fb>
    <v>10</v>
  </rv>
  <rv s="2">
    <fb>330.6</fb>
    <v>10</v>
  </rv>
  <rv s="2">
    <fb>330.05</fb>
    <v>10</v>
  </rv>
  <rv s="2">
    <fb>338.15</fb>
    <v>10</v>
  </rv>
  <rv s="2">
    <fb>341.2</fb>
    <v>10</v>
  </rv>
  <rv s="2">
    <fb>354.45</fb>
    <v>10</v>
  </rv>
  <rv s="2">
    <fb>352.25</fb>
    <v>10</v>
  </rv>
  <rv s="2">
    <fb>355.4</fb>
    <v>10</v>
  </rv>
  <rv s="2">
    <fb>357.25</fb>
    <v>10</v>
  </rv>
  <rv s="2">
    <fb>352.65</fb>
    <v>10</v>
  </rv>
  <rv s="2">
    <fb>342</fb>
    <v>10</v>
  </rv>
  <rv s="2">
    <fb>348.6</fb>
    <v>10</v>
  </rv>
  <rv s="2">
    <fb>351.35</fb>
    <v>10</v>
  </rv>
  <rv s="2">
    <fb>352.2</fb>
    <v>10</v>
  </rv>
  <rv s="2">
    <fb>349.2</fb>
    <v>10</v>
  </rv>
  <rv s="2">
    <fb>351.4</fb>
    <v>10</v>
  </rv>
  <rv s="2">
    <fb>350.5</fb>
    <v>10</v>
  </rv>
  <rv s="2">
    <fb>354.4</fb>
    <v>10</v>
  </rv>
  <rv s="2">
    <fb>355.7</fb>
    <v>10</v>
  </rv>
  <rv s="2">
    <fb>362.5</fb>
    <v>10</v>
  </rv>
  <rv s="2">
    <fb>368.55</fb>
    <v>10</v>
  </rv>
  <rv s="2">
    <fb>374.45</fb>
    <v>10</v>
  </rv>
  <rv s="2">
    <fb>380.05</fb>
    <v>10</v>
  </rv>
  <rv s="2">
    <fb>372.1</fb>
    <v>10</v>
  </rv>
  <rv s="2">
    <fb>369.35</fb>
    <v>10</v>
  </rv>
  <rv s="2">
    <fb>373.55</fb>
    <v>10</v>
  </rv>
  <rv s="2">
    <fb>372.4</fb>
    <v>10</v>
  </rv>
  <rv s="2">
    <fb>374.2</fb>
    <v>10</v>
  </rv>
  <rv s="2">
    <fb>379.1</fb>
    <v>10</v>
  </rv>
  <rv s="2">
    <fb>390.45</fb>
    <v>10</v>
  </rv>
  <rv s="2">
    <fb>394.65</fb>
    <v>10</v>
  </rv>
  <rv s="2">
    <fb>397</fb>
    <v>10</v>
  </rv>
  <rv s="2">
    <fb>398.75</fb>
    <v>10</v>
  </rv>
  <rv s="2">
    <fb>387.2</fb>
    <v>10</v>
  </rv>
  <rv s="2">
    <fb>396.95</fb>
    <v>10</v>
  </rv>
  <rv s="2">
    <fb>397.6</fb>
    <v>10</v>
  </rv>
  <rv s="2">
    <fb>394.15</fb>
    <v>10</v>
  </rv>
  <rv s="2">
    <fb>387.45</fb>
    <v>10</v>
  </rv>
  <rv s="2">
    <fb>398.15</fb>
    <v>10</v>
  </rv>
  <rv s="2">
    <fb>397.3</fb>
    <v>10</v>
  </rv>
  <rv s="2">
    <fb>391.4</fb>
    <v>10</v>
  </rv>
  <rv s="2">
    <fb>383.1</fb>
    <v>10</v>
  </rv>
  <rv s="2">
    <fb>382.4</fb>
    <v>10</v>
  </rv>
  <rv s="2">
    <fb>372.35</fb>
    <v>10</v>
  </rv>
  <rv s="2">
    <fb>364.2</fb>
    <v>10</v>
  </rv>
  <rv s="2">
    <fb>343.35</fb>
    <v>10</v>
  </rv>
  <rv s="2">
    <fb>342.1</fb>
    <v>10</v>
  </rv>
  <rv s="2">
    <fb>354.9</fb>
    <v>10</v>
  </rv>
  <rv s="2">
    <fb>360.25</fb>
    <v>10</v>
  </rv>
  <rv s="2">
    <fb>359.25</fb>
    <v>10</v>
  </rv>
  <rv s="2">
    <fb>364.3</fb>
    <v>10</v>
  </rv>
  <rv s="2">
    <fb>363.85</fb>
    <v>10</v>
  </rv>
  <rv s="2">
    <fb>359.45</fb>
    <v>10</v>
  </rv>
  <rv s="2">
    <fb>357.75</fb>
    <v>10</v>
  </rv>
  <rv s="2">
    <fb>359.5</fb>
    <v>10</v>
  </rv>
  <rv s="2">
    <fb>359.95</fb>
    <v>10</v>
  </rv>
  <rv s="2">
    <fb>358.3</fb>
    <v>10</v>
  </rv>
  <rv s="2">
    <fb>353.25</fb>
    <v>10</v>
  </rv>
  <rv s="2">
    <fb>348.35</fb>
    <v>10</v>
  </rv>
  <rv s="2">
    <fb>352.55</fb>
    <v>10</v>
  </rv>
  <rv s="2">
    <fb>356.1</fb>
    <v>10</v>
  </rv>
  <rv s="2">
    <fb>361.55</fb>
    <v>10</v>
  </rv>
  <rv s="2">
    <fb>356.85</fb>
    <v>10</v>
  </rv>
  <rv s="2">
    <fb>363.7</fb>
    <v>10</v>
  </rv>
  <rv s="2">
    <fb>364.15</fb>
    <v>10</v>
  </rv>
  <rv s="2">
    <fb>364.5</fb>
    <v>10</v>
  </rv>
  <rv s="2">
    <fb>364.05</fb>
    <v>10</v>
  </rv>
  <rv s="2">
    <fb>365.2</fb>
    <v>10</v>
  </rv>
  <rv s="2">
    <fb>358.25</fb>
    <v>10</v>
  </rv>
  <rv s="2">
    <fb>360.2</fb>
    <v>10</v>
  </rv>
  <rv s="2">
    <fb>354.35</fb>
    <v>10</v>
  </rv>
  <rv s="2">
    <fb>368.4</fb>
    <v>10</v>
  </rv>
  <rv s="2">
    <fb>369.2</fb>
    <v>10</v>
  </rv>
  <rv s="2">
    <fb>362.15</fb>
    <v>10</v>
  </rv>
  <rv s="2">
    <fb>358.95</fb>
    <v>10</v>
  </rv>
  <rv s="2">
    <fb>355.95</fb>
    <v>10</v>
  </rv>
  <rv s="2">
    <fb>338.9</fb>
    <v>10</v>
  </rv>
  <rv s="2">
    <fb>340.15</fb>
    <v>10</v>
  </rv>
  <rv s="2">
    <fb>341</fb>
    <v>10</v>
  </rv>
  <rv s="2">
    <fb>346.45</fb>
    <v>10</v>
  </rv>
  <rv s="2">
    <fb>347.75</fb>
    <v>10</v>
  </rv>
  <rv s="2">
    <fb>347.8</fb>
    <v>10</v>
  </rv>
  <rv s="2">
    <fb>349</fb>
    <v>10</v>
  </rv>
  <rv s="2">
    <fb>352.5</fb>
    <v>10</v>
  </rv>
  <rv s="2">
    <fb>353.45</fb>
    <v>10</v>
  </rv>
  <rv s="2">
    <fb>349.4</fb>
    <v>10</v>
  </rv>
  <rv s="2">
    <fb>351.85</fb>
    <v>10</v>
  </rv>
  <rv s="2">
    <fb>356.4</fb>
    <v>10</v>
  </rv>
  <rv s="2">
    <fb>358.2</fb>
    <v>10</v>
  </rv>
  <rv s="2">
    <fb>356.15</fb>
    <v>10</v>
  </rv>
  <rv s="2">
    <fb>366.1</fb>
    <v>10</v>
  </rv>
  <rv s="2">
    <fb>362.3</fb>
    <v>10</v>
  </rv>
  <rv s="2">
    <fb>360.45</fb>
    <v>10</v>
  </rv>
  <rv s="2">
    <fb>365.75</fb>
    <v>10</v>
  </rv>
  <rv s="2">
    <fb>373.7</fb>
    <v>10</v>
  </rv>
  <rv s="2">
    <fb>376.6</fb>
    <v>10</v>
  </rv>
  <rv s="2">
    <fb>377.15</fb>
    <v>10</v>
  </rv>
  <rv s="2">
    <fb>380.5</fb>
    <v>10</v>
  </rv>
  <rv s="2">
    <fb>385.2</fb>
    <v>10</v>
  </rv>
  <rv s="2">
    <fb>380.4</fb>
    <v>10</v>
  </rv>
  <rv s="2">
    <fb>382.15</fb>
    <v>10</v>
  </rv>
  <rv s="2">
    <fb>385.1</fb>
    <v>10</v>
  </rv>
  <rv s="2">
    <fb>405.9</fb>
    <v>10</v>
  </rv>
  <rv s="2">
    <fb>417</fb>
    <v>10</v>
  </rv>
  <rv s="2">
    <fb>411.15</fb>
    <v>10</v>
  </rv>
  <rv s="2">
    <fb>420.95</fb>
    <v>10</v>
  </rv>
  <rv s="2">
    <fb>421.6</fb>
    <v>10</v>
  </rv>
  <rv s="2">
    <fb>410.1</fb>
    <v>10</v>
  </rv>
  <rv s="2">
    <fb>395.15</fb>
    <v>10</v>
  </rv>
  <rv s="2">
    <fb>396.85</fb>
    <v>10</v>
  </rv>
  <rv s="2">
    <fb>395.25</fb>
    <v>10</v>
  </rv>
  <rv s="2">
    <fb>393.25</fb>
    <v>10</v>
  </rv>
  <rv s="2">
    <fb>398.45</fb>
    <v>10</v>
  </rv>
  <rv s="2">
    <fb>399.65</fb>
    <v>10</v>
  </rv>
  <rv s="2">
    <fb>398.35</fb>
    <v>10</v>
  </rv>
  <rv s="2">
    <fb>394.5</fb>
    <v>10</v>
  </rv>
  <rv s="2">
    <fb>399</fb>
    <v>10</v>
  </rv>
  <rv s="2">
    <fb>410</fb>
    <v>10</v>
  </rv>
  <rv s="2">
    <fb>388.35</fb>
    <v>10</v>
  </rv>
  <rv s="2">
    <fb>392.65</fb>
    <v>10</v>
  </rv>
  <rv s="2">
    <fb>383.8</fb>
    <v>10</v>
  </rv>
  <rv s="2">
    <fb>383.65</fb>
    <v>10</v>
  </rv>
  <rv s="2">
    <fb>379.15</fb>
    <v>10</v>
  </rv>
  <rv s="2">
    <fb>381.75</fb>
    <v>10</v>
  </rv>
  <rv s="2">
    <fb>386.35</fb>
    <v>10</v>
  </rv>
  <rv s="2">
    <fb>390.65</fb>
    <v>10</v>
  </rv>
  <rv s="2">
    <fb>384.9</fb>
    <v>10</v>
  </rv>
  <rv s="2">
    <fb>386.1</fb>
    <v>10</v>
  </rv>
  <rv s="2">
    <fb>392.25</fb>
    <v>10</v>
  </rv>
  <rv s="2">
    <fb>398.55</fb>
    <v>10</v>
  </rv>
  <rv s="2">
    <fb>399.3</fb>
    <v>10</v>
  </rv>
  <rv s="2">
    <fb>401.55</fb>
    <v>10</v>
  </rv>
  <rv s="2">
    <fb>395.45</fb>
    <v>10</v>
  </rv>
  <rv s="2">
    <fb>390.4</fb>
    <v>10</v>
  </rv>
  <rv s="2">
    <fb>393.9</fb>
    <v>10</v>
  </rv>
  <rv s="2">
    <fb>387.75</fb>
    <v>10</v>
  </rv>
  <rv s="2">
    <fb>392.95</fb>
    <v>10</v>
  </rv>
  <rv s="2">
    <fb>391.35</fb>
    <v>10</v>
  </rv>
  <rv s="2">
    <fb>385.15</fb>
    <v>10</v>
  </rv>
  <rv s="2">
    <fb>387.05</fb>
    <v>10</v>
  </rv>
  <rv s="2">
    <fb>379.6</fb>
    <v>10</v>
  </rv>
  <rv s="2">
    <fb>371.8</fb>
    <v>10</v>
  </rv>
  <rv s="2">
    <fb>377.3</fb>
    <v>10</v>
  </rv>
  <rv s="2">
    <fb>379</fb>
    <v>10</v>
  </rv>
  <rv s="2">
    <fb>377.65</fb>
    <v>10</v>
  </rv>
  <rv s="2">
    <fb>376.05</fb>
    <v>10</v>
  </rv>
  <rv s="2">
    <fb>366.85</fb>
    <v>10</v>
  </rv>
  <rv s="2">
    <fb>364.85</fb>
    <v>10</v>
  </rv>
  <rv s="2">
    <fb>373</fb>
    <v>10</v>
  </rv>
  <rv s="2">
    <fb>366.2</fb>
    <v>10</v>
  </rv>
  <rv s="2">
    <fb>365.25</fb>
    <v>10</v>
  </rv>
  <rv s="2">
    <fb>370.5</fb>
    <v>10</v>
  </rv>
  <rv s="2">
    <fb>365.3</fb>
    <v>10</v>
  </rv>
  <rv s="2">
    <fb>366.8</fb>
    <v>10</v>
  </rv>
  <rv s="2">
    <fb>368.2</fb>
    <v>10</v>
  </rv>
  <rv s="2">
    <fb>370.15</fb>
    <v>10</v>
  </rv>
  <rv s="2">
    <fb>372.3</fb>
    <v>10</v>
  </rv>
  <rv s="2">
    <fb>367.8</fb>
    <v>10</v>
  </rv>
  <rv s="2">
    <fb>365.4</fb>
    <v>10</v>
  </rv>
  <rv s="2">
    <fb>373.95</fb>
    <v>10</v>
  </rv>
  <rv s="2">
    <fb>371.05</fb>
    <v>10</v>
  </rv>
  <rv s="2">
    <fb>375.2</fb>
    <v>10</v>
  </rv>
  <rv s="2">
    <fb>375.05</fb>
    <v>10</v>
  </rv>
  <rv s="2">
    <fb>380.35</fb>
    <v>10</v>
  </rv>
  <rv s="2">
    <fb>379.35</fb>
    <v>10</v>
  </rv>
  <rv s="2">
    <fb>378.95</fb>
    <v>10</v>
  </rv>
  <rv s="2">
    <fb>382.65</fb>
    <v>10</v>
  </rv>
  <rv s="2">
    <fb>383.95</fb>
    <v>10</v>
  </rv>
  <rv s="3">
    <v>https://www.bing.com/financeapi/forcetrigger?t=ahi62w&amp;q=XNSE%3aHINDUNILVR&amp;form=skydnc</v>
    <v>Learn more on Bing</v>
  </rv>
  <rv s="4">
    <v>en-IN</v>
    <v>ahi62w</v>
    <v>268435456</v>
    <v>1</v>
    <v>Powered by Refinitiv</v>
    <v>6</v>
    <v>HINDUSTAN UNILEVER LIMITED (XNSE:HINDUNILVR)</v>
    <v>7</v>
    <v>8</v>
    <v>Finance</v>
    <v>14</v>
    <v>2705.1</v>
    <v>2101.13</v>
    <v>0.77080000000000004</v>
    <v>35.200000000000003</v>
    <v>1.5443E-2</v>
    <v>INR</v>
    <v>Hindustan Unilever Limited is an India-based fast-moving consumer goods company. The Company's segments include Home Care, Beauty &amp; Wellbeing, Personal Care, Foods, and Others (includes Exports, Consignment, etc). Its product categories include skin cleansing, hair care, skin care and color cosmetics, oral care, deodorant and male toiletries, fabric care, household care, nutrition drinks, foods, and beverages. The Company has over 50 brands, including Acne - Squad, Active Wheel 2 in 1, Axe, Boost, Breeze, Brooke Bond 3 Roses, Brooke Bond Red Label, Brooke Bond Taaza, Clinic Plus, Closeup, Comfort, Dermalogica, Domex, Dove, Elle 18, Find Your Happy Place, Glow &amp; Handsome, Glow &amp; Lovely, Hamam, Horlicks, Horlicks Diabetes Plus, Lipton, and Minimalist. Lux is a global brand which offers beauty soaps, shower gels, bath additives, shampoos and others. ELLE 18 brand’s range of cosmetics includes eyeliner, kajal, lipstick, nail polish, compact and foundation.</v>
    <v>18802</v>
    <v>National Stock Exchange of India</v>
    <v>XNSE</v>
    <v>XNSE</v>
    <v>Unilever House,, B D Sawant Marg, Chakala,, Andheri (E), MUMBAI, MAHARASHTRA, 400099 IN</v>
    <v>2331.1999999999998</v>
    <v>Personal &amp; Household Products &amp; Services</v>
    <v>Stock</v>
    <v>46073.464629629627</v>
    <v>1517</v>
    <v>2278.3000000000002</v>
    <v>5614349000000</v>
    <v>HINDUSTAN UNILEVER LIMITED</v>
    <v>HINDUSTAN UNILEVER LIMITED</v>
    <v>2285</v>
    <v>53.42</v>
    <v>2279.3000000000002</v>
    <v>2314.5</v>
    <v>2349591000</v>
    <v>HINDUNILVR</v>
    <v>HINDUSTAN UNILEVER LIMITED (XNSE:HINDUNILVR)</v>
    <v>1716316</v>
    <v>1679960</v>
    <v>1933</v>
  </rv>
  <rv s="1">
    <v>1518</v>
  </rv>
  <rv s="2">
    <fb>2204.8471</fb>
    <v>10</v>
  </rv>
  <rv s="2">
    <fb>2222.4056</fb>
    <v>10</v>
  </rv>
  <rv s="2">
    <fb>2208.29</fb>
    <v>10</v>
  </rv>
  <rv s="2">
    <fb>2154.4832000000001</fb>
    <v>10</v>
  </rv>
  <rv s="2">
    <fb>2141.3020000000001</fb>
    <v>10</v>
  </rv>
  <rv s="2">
    <fb>2122.1205</fb>
    <v>10</v>
  </rv>
  <rv s="2">
    <fb>2135.0066000000002</fb>
    <v>10</v>
  </rv>
  <rv s="2">
    <fb>2182.7145</fb>
    <v>10</v>
  </rv>
  <rv s="2">
    <fb>2168.5497</fb>
    <v>10</v>
  </rv>
  <rv s="2">
    <fb>2211.0441999999998</fb>
    <v>10</v>
  </rv>
  <rv s="2">
    <fb>2180.7471999999998</fb>
    <v>10</v>
  </rv>
  <rv s="2">
    <fb>2157.0898999999999</fb>
    <v>10</v>
  </rv>
  <rv s="2">
    <fb>2139.2855</fb>
    <v>10</v>
  </rv>
  <rv s="2">
    <fb>2135.7935000000002</fb>
    <v>10</v>
  </rv>
  <rv s="2">
    <fb>2165.4511000000002</fb>
    <v>10</v>
  </rv>
  <rv s="2">
    <fb>2164.1232</fb>
    <v>10</v>
  </rv>
  <rv s="2">
    <fb>2205.7815999999998</fb>
    <v>10</v>
  </rv>
  <rv s="2">
    <fb>2209.5196000000001</fb>
    <v>10</v>
  </rv>
  <rv s="2">
    <fb>2219.3562999999999</fb>
    <v>10</v>
  </rv>
  <rv s="2">
    <fb>2234.2096999999999</fb>
    <v>10</v>
  </rv>
  <rv s="2">
    <fb>2209.2736</fb>
    <v>10</v>
  </rv>
  <rv s="2">
    <fb>2207.9949000000001</fb>
    <v>10</v>
  </rv>
  <rv s="2">
    <fb>2221.9630000000002</fb>
    <v>10</v>
  </rv>
  <rv s="2">
    <fb>2197.3712</fb>
    <v>10</v>
  </rv>
  <rv s="2">
    <fb>2201.3551000000002</fb>
    <v>10</v>
  </rv>
  <rv s="2">
    <fb>2207.8964999999998</fb>
    <v>10</v>
  </rv>
  <rv s="2">
    <fb>2212.6673000000001</fb>
    <v>10</v>
  </rv>
  <rv s="2">
    <fb>2251.8665000000001</fb>
    <v>10</v>
  </rv>
  <rv s="2">
    <fb>2311.6244999999999</fb>
    <v>10</v>
  </rv>
  <rv s="2">
    <fb>2327.5108</fb>
    <v>10</v>
  </rv>
  <rv s="2">
    <fb>2322.9367000000002</fb>
    <v>10</v>
  </rv>
  <rv s="2">
    <fb>2327.9533999999999</fb>
    <v>10</v>
  </rv>
  <rv s="2">
    <fb>2336.2163</fb>
    <v>10</v>
  </rv>
  <rv s="2">
    <fb>2312.6082000000001</fb>
    <v>10</v>
  </rv>
  <rv s="2">
    <fb>2359.5291999999999</fb>
    <v>10</v>
  </rv>
  <rv s="2">
    <fb>2384.2193000000002</fb>
    <v>10</v>
  </rv>
  <rv s="2">
    <fb>2287.3279000000002</fb>
    <v>10</v>
  </rv>
  <rv s="2">
    <fb>2294.1152000000002</fb>
    <v>10</v>
  </rv>
  <rv s="2">
    <fb>2280.7372999999998</fb>
    <v>10</v>
  </rv>
  <rv s="2">
    <fb>2283.7865999999999</fb>
    <v>10</v>
  </rv>
  <rv s="2">
    <fb>2303.8535000000002</fb>
    <v>10</v>
  </rv>
  <rv s="2">
    <fb>2285.9506999999999</fb>
    <v>10</v>
  </rv>
  <rv s="2">
    <fb>2310.2474000000002</fb>
    <v>10</v>
  </rv>
  <rv s="2">
    <fb>2342.9052000000001</fb>
    <v>10</v>
  </rv>
  <rv s="2">
    <fb>2332.0848000000001</fb>
    <v>10</v>
  </rv>
  <rv s="2">
    <fb>2316.4445000000001</fb>
    <v>10</v>
  </rv>
  <rv s="2">
    <fb>2294.8036999999999</fb>
    <v>10</v>
  </rv>
  <rv s="2">
    <fb>2343.5938000000001</fb>
    <v>10</v>
  </rv>
  <rv s="2">
    <fb>2321.4612000000002</fb>
    <v>10</v>
  </rv>
  <rv s="2">
    <fb>2312.1163000000001</fb>
    <v>10</v>
  </rv>
  <rv s="2">
    <fb>2316.7395999999999</fb>
    <v>10</v>
  </rv>
  <rv s="2">
    <fb>2342.5117</fb>
    <v>10</v>
  </rv>
  <rv s="2">
    <fb>2343.7905000000001</fb>
    <v>10</v>
  </rv>
  <rv s="2">
    <fb>2302.8697999999999</fb>
    <v>10</v>
  </rv>
  <rv s="2">
    <fb>2325.2975000000001</fb>
    <v>10</v>
  </rv>
  <rv s="2">
    <fb>2292.6397000000002</fb>
    <v>10</v>
  </rv>
  <rv s="2">
    <fb>2320.6743000000001</fb>
    <v>10</v>
  </rv>
  <rv s="2">
    <fb>2355.0043000000001</fb>
    <v>10</v>
  </rv>
  <rv s="2">
    <fb>2341.3312999999998</fb>
    <v>10</v>
  </rv>
  <rv s="2">
    <fb>2323.4285</fb>
    <v>10</v>
  </rv>
  <rv s="2">
    <fb>2328.0518000000002</fb>
    <v>10</v>
  </rv>
  <rv s="2">
    <fb>2309.9522999999999</fb>
    <v>10</v>
  </rv>
  <rv s="2">
    <fb>2332.8717999999999</fb>
    <v>10</v>
  </rv>
  <rv s="2">
    <fb>2313.8869</fb>
    <v>10</v>
  </rv>
  <rv s="2">
    <fb>2325.8877000000002</fb>
    <v>10</v>
  </rv>
  <rv s="2">
    <fb>2337.5934000000002</fb>
    <v>10</v>
  </rv>
  <rv s="2">
    <fb>2350.7746000000002</fb>
    <v>10</v>
  </rv>
  <rv s="2">
    <fb>2354.1190000000001</fb>
    <v>10</v>
  </rv>
  <rv s="2">
    <fb>2356.0864000000001</fb>
    <v>10</v>
  </rv>
  <rv s="2">
    <fb>2294.607</fb>
    <v>10</v>
  </rv>
  <rv s="2">
    <fb>2281.1307000000002</fb>
    <v>10</v>
  </rv>
  <rv s="2">
    <fb>2289.3935999999999</fb>
    <v>10</v>
  </rv>
  <rv s="2">
    <fb>2290.5740000000001</fb>
    <v>10</v>
  </rv>
  <rv s="2">
    <fb>2259.7851000000001</fb>
    <v>10</v>
  </rv>
  <rv s="2">
    <fb>2256.7357000000002</fb>
    <v>10</v>
  </rv>
  <rv s="2">
    <fb>2268.5398</fb>
    <v>10</v>
  </rv>
  <rv s="2">
    <fb>2237.9476</fb>
    <v>10</v>
  </rv>
  <rv s="2">
    <fb>2226.1435999999999</fb>
    <v>10</v>
  </rv>
  <rv s="2">
    <fb>2241.4888000000001</fb>
    <v>10</v>
  </rv>
  <rv s="2">
    <fb>2243.5545000000002</fb>
    <v>10</v>
  </rv>
  <rv s="2">
    <fb>2269.2283000000002</fb>
    <v>10</v>
  </rv>
  <rv s="2">
    <fb>2257.1291999999999</fb>
    <v>10</v>
  </rv>
  <rv s="2">
    <fb>2258.0145000000002</fb>
    <v>10</v>
  </rv>
  <rv s="2">
    <fb>2269.4250999999999</fb>
    <v>10</v>
  </rv>
  <rv s="2">
    <fb>2275.6221999999998</fb>
    <v>10</v>
  </rv>
  <rv s="2">
    <fb>2301.0992000000001</fb>
    <v>10</v>
  </rv>
  <rv s="2">
    <fb>2371.0382</fb>
    <v>10</v>
  </rv>
  <rv s="2">
    <fb>2353.6271999999999</fb>
    <v>10</v>
  </rv>
  <rv s="2">
    <fb>2383.8258999999998</fb>
    <v>10</v>
  </rv>
  <rv s="2">
    <fb>2369.0708</fb>
    <v>10</v>
  </rv>
  <rv s="2">
    <fb>2478.4549000000002</fb>
    <v>10</v>
  </rv>
  <rv s="2">
    <fb>2475.5039000000002</fb>
    <v>10</v>
  </rv>
  <rv s="2">
    <fb>2485.6356999999998</fb>
    <v>10</v>
  </rv>
  <rv s="2">
    <fb>2476.4875999999999</fb>
    <v>10</v>
  </rv>
  <rv s="2">
    <fb>2468.8150000000001</fb>
    <v>10</v>
  </rv>
  <rv s="2">
    <fb>2448.9448000000002</fb>
    <v>10</v>
  </rv>
  <rv s="2">
    <fb>2424.6482000000001</fb>
    <v>10</v>
  </rv>
  <rv s="2">
    <fb>2439.2064999999998</fb>
    <v>10</v>
  </rv>
  <rv s="2">
    <fb>2410.3850000000002</fb>
    <v>10</v>
  </rv>
  <rv s="2">
    <fb>2397.9906999999998</fb>
    <v>10</v>
  </rv>
  <rv s="2">
    <fb>2375.9564999999998</fb>
    <v>10</v>
  </rv>
  <rv s="2">
    <fb>2401.7287000000001</fb>
    <v>10</v>
  </rv>
  <rv s="2">
    <fb>2413.5327000000002</fb>
    <v>10</v>
  </rv>
  <rv s="2">
    <fb>2397.5972999999999</fb>
    <v>10</v>
  </rv>
  <rv s="2">
    <fb>2480.0288</fb>
    <v>10</v>
  </rv>
  <rv s="2">
    <fb>2511.9980999999998</fb>
    <v>10</v>
  </rv>
  <rv s="2">
    <fb>2502.1614</fb>
    <v>10</v>
  </rv>
  <rv s="2">
    <fb>2493.3083000000001</fb>
    <v>10</v>
  </rv>
  <rv s="2">
    <fb>2494.1936999999998</fb>
    <v>10</v>
  </rv>
  <rv s="2">
    <fb>2476.3892000000001</fb>
    <v>10</v>
  </rv>
  <rv s="2">
    <fb>2457.7979</fb>
    <v>10</v>
  </rv>
  <rv s="2">
    <fb>2477.2745</fb>
    <v>10</v>
  </rv>
  <rv s="2">
    <fb>2443.2395000000001</fb>
    <v>10</v>
  </rv>
  <rv s="2">
    <fb>2454.355</fb>
    <v>10</v>
  </rv>
  <rv s="2">
    <fb>2440.0918000000001</fb>
    <v>10</v>
  </rv>
  <rv s="2">
    <fb>2526.1628999999998</fb>
    <v>10</v>
  </rv>
  <rv s="2">
    <fb>2562.2636000000002</fb>
    <v>10</v>
  </rv>
  <rv s="2">
    <fb>2626.2022000000002</fb>
    <v>10</v>
  </rv>
  <rv s="2">
    <fb>2604.7582000000002</fb>
    <v>10</v>
  </rv>
  <rv s="2">
    <fb>2586.9537</fb>
    <v>10</v>
  </rv>
  <rv s="2">
    <fb>2588.6260000000002</fb>
    <v>10</v>
  </rv>
  <rv s="2">
    <fb>2648.6298000000002</fb>
    <v>10</v>
  </rv>
  <rv s="2">
    <fb>2611.0536000000002</fb>
    <v>10</v>
  </rv>
  <rv s="2">
    <fb>2616.3654999999999</fb>
    <v>10</v>
  </rv>
  <rv s="2">
    <fb>2606.2337000000002</fb>
    <v>10</v>
  </rv>
  <rv s="2">
    <fb>2633.2846</fb>
    <v>10</v>
  </rv>
  <rv s="2">
    <fb>2621.1853999999998</fb>
    <v>10</v>
  </rv>
  <rv s="2">
    <fb>2623.0544</fb>
    <v>10</v>
  </rv>
  <rv s="2">
    <fb>2590.3966</fb>
    <v>10</v>
  </rv>
  <rv s="2">
    <fb>2581.0517</fb>
    <v>10</v>
  </rv>
  <rv s="2">
    <fb>2598.8561</fb>
    <v>10</v>
  </rv>
  <rv s="2">
    <fb>2600.3316</fb>
    <v>10</v>
  </rv>
  <rv s="2">
    <fb>2579.1826999999998</fb>
    <v>10</v>
  </rv>
  <rv s="2">
    <fb>2538.3604</fb>
    <v>10</v>
  </rv>
  <rv s="2">
    <fb>2538.8523</fb>
    <v>10</v>
  </rv>
  <rv s="2">
    <fb>2538.7539000000002</fb>
    <v>10</v>
  </rv>
  <rv s="2">
    <fb>2527.7368000000001</fb>
    <v>10</v>
  </rv>
  <rv s="2">
    <fb>2544.5576000000001</fb>
    <v>10</v>
  </rv>
  <rv s="2">
    <fb>2517.8017</fb>
    <v>10</v>
  </rv>
  <rv s="2">
    <fb>2530.1959999999999</fb>
    <v>10</v>
  </rv>
  <rv s="2">
    <fb>2481.0124999999998</fb>
    <v>10</v>
  </rv>
  <rv s="2">
    <fb>2507.8667</fb>
    <v>10</v>
  </rv>
  <rv s="2">
    <fb>2496.8496</fb>
    <v>10</v>
  </rv>
  <rv s="2">
    <fb>2470.7822999999999</fb>
    <v>10</v>
  </rv>
  <rv s="2">
    <fb>2457.1093000000001</fb>
    <v>10</v>
  </rv>
  <rv s="2">
    <fb>2473.3398000000002</fb>
    <v>10</v>
  </rv>
  <rv s="2">
    <fb>2494.7838999999999</fb>
    <v>10</v>
  </rv>
  <rv s="2">
    <fb>2503.3418000000001</fb>
    <v>10</v>
  </rv>
  <rv s="2">
    <fb>2500.2923999999998</fb>
    <v>10</v>
  </rv>
  <rv s="2">
    <fb>2476.0940999999998</fb>
    <v>10</v>
  </rv>
  <rv s="2">
    <fb>2459.2734</fb>
    <v>10</v>
  </rv>
  <rv s="2">
    <fb>2487.6030999999998</fb>
    <v>10</v>
  </rv>
  <rv s="2">
    <fb>2452.0925999999999</fb>
    <v>10</v>
  </rv>
  <rv s="2">
    <fb>2461.4373999999998</fb>
    <v>10</v>
  </rv>
  <rv s="2">
    <fb>2477.8647000000001</fb>
    <v>10</v>
  </rv>
  <rv s="2">
    <fb>2519.6707000000001</fb>
    <v>10</v>
  </rv>
  <rv s="2">
    <fb>2561.1815999999999</fb>
    <v>10</v>
  </rv>
  <rv s="2">
    <fb>2552.0333999999998</fb>
    <v>10</v>
  </rv>
  <rv s="2">
    <fb>2549.3775000000001</fb>
    <v>10</v>
  </rv>
  <rv s="2">
    <fb>2559.1158999999998</fb>
    <v>10</v>
  </rv>
  <rv s="2">
    <fb>2475.3072000000002</fb>
    <v>10</v>
  </rv>
  <rv s="2">
    <fb>2456.3224</fb>
    <v>10</v>
  </rv>
  <rv s="2">
    <fb>2447.4693000000002</fb>
    <v>10</v>
  </rv>
  <rv s="2">
    <fb>2429.2714000000001</fb>
    <v>10</v>
  </rv>
  <rv s="2">
    <fb>2425.2384000000002</fb>
    <v>10</v>
  </rv>
  <rv s="2">
    <fb>2419.8281999999999</fb>
    <v>10</v>
  </rv>
  <rv s="2">
    <fb>2405.7617</fb>
    <v>10</v>
  </rv>
  <rv s="2">
    <fb>2396.2201</fb>
    <v>10</v>
  </rv>
  <rv s="2">
    <fb>2374.5794000000001</fb>
    <v>10</v>
  </rv>
  <rv s="2">
    <fb>2369.4643000000001</fb>
    <v>10</v>
  </rv>
  <rv s="2">
    <fb>2387.8589000000002</fb>
    <v>10</v>
  </rv>
  <rv s="2">
    <fb>2384.9079000000002</fb>
    <v>10</v>
  </rv>
  <rv s="2">
    <fb>2368.2838999999999</fb>
    <v>10</v>
  </rv>
  <rv s="2">
    <fb>2388.0556999999999</fb>
    <v>10</v>
  </rv>
  <rv s="2">
    <fb>2385.3998000000001</fb>
    <v>10</v>
  </rv>
  <rv s="2">
    <fb>2364.7426999999998</fb>
    <v>10</v>
  </rv>
  <rv s="2">
    <fb>2388.7442000000001</fb>
    <v>10</v>
  </rv>
  <rv s="2">
    <fb>2393.9576999999999</fb>
    <v>10</v>
  </rv>
  <rv s="2">
    <fb>2384.6127999999999</fb>
    <v>10</v>
  </rv>
  <rv s="2">
    <fb>2374.6777000000002</fb>
    <v>10</v>
  </rv>
  <rv s="2">
    <fb>2385.5965000000001</fb>
    <v>10</v>
  </rv>
  <rv s="2">
    <fb>2411.6637000000001</fb>
    <v>10</v>
  </rv>
  <rv s="2">
    <fb>2426.3204000000001</fb>
    <v>10</v>
  </rv>
  <rv s="2">
    <fb>2424.2547</fb>
    <v>10</v>
  </rv>
  <rv s="2">
    <fb>2437.3375000000001</fb>
    <v>10</v>
  </rv>
  <rv s="2">
    <fb>2408.0241999999998</fb>
    <v>10</v>
  </rv>
  <rv s="2">
    <fb>2421.9922999999999</fb>
    <v>10</v>
  </rv>
  <rv s="2">
    <fb>2338.6</fb>
    <v>10</v>
  </rv>
  <rv s="2">
    <fb>2314</fb>
    <v>10</v>
  </rv>
  <rv s="2">
    <fb>2306.5</fb>
    <v>10</v>
  </rv>
  <rv s="2">
    <fb>2301.6999999999998</fb>
    <v>10</v>
  </rv>
  <rv s="2">
    <fb>2305.6</fb>
    <v>10</v>
  </rv>
  <rv s="2">
    <fb>2260.6</fb>
    <v>10</v>
  </rv>
  <rv s="2">
    <fb>2293.5</fb>
    <v>10</v>
  </rv>
  <rv s="2">
    <fb>2281.1</fb>
    <v>10</v>
  </rv>
  <rv s="2">
    <fb>2275.6</fb>
    <v>10</v>
  </rv>
  <rv s="2">
    <fb>2265.5</fb>
    <v>10</v>
  </rv>
  <rv s="2">
    <fb>2280</fb>
    <v>10</v>
  </rv>
  <rv s="2">
    <fb>2289.5</fb>
    <v>10</v>
  </rv>
  <rv s="2">
    <fb>2302.6</fb>
    <v>10</v>
  </rv>
  <rv s="2">
    <fb>2282.1999999999998</fb>
    <v>10</v>
  </rv>
  <rv s="2">
    <fb>2285.4</fb>
    <v>10</v>
  </rv>
  <rv s="2">
    <fb>2293.3000000000002</fb>
    <v>10</v>
  </rv>
  <rv s="2">
    <fb>2290.1999999999998</fb>
    <v>10</v>
  </rv>
  <rv s="2">
    <fb>2315.9</fb>
    <v>10</v>
  </rv>
  <rv s="2">
    <fb>2323</fb>
    <v>10</v>
  </rv>
  <rv s="2">
    <fb>2348</fb>
    <v>10</v>
  </rv>
  <rv s="2">
    <fb>2384.1</fb>
    <v>10</v>
  </rv>
  <rv s="2">
    <fb>2424.6999999999998</fb>
    <v>10</v>
  </rv>
  <rv s="2">
    <fb>2399.4</fb>
    <v>10</v>
  </rv>
  <rv s="2">
    <fb>2386.6999999999998</fb>
    <v>10</v>
  </rv>
  <rv s="2">
    <fb>2372.6</fb>
    <v>10</v>
  </rv>
  <rv s="2">
    <fb>2406.1999999999998</fb>
    <v>10</v>
  </rv>
  <rv s="2">
    <fb>2389.5</fb>
    <v>10</v>
  </rv>
  <rv s="2">
    <fb>2353.5</fb>
    <v>10</v>
  </rv>
  <rv s="2">
    <fb>2360.4</fb>
    <v>10</v>
  </rv>
  <rv s="2">
    <fb>2413.9</fb>
    <v>10</v>
  </rv>
  <rv s="2">
    <fb>2379.1</fb>
    <v>10</v>
  </rv>
  <rv s="2">
    <fb>2368</fb>
    <v>10</v>
  </rv>
  <rv s="2">
    <fb>2390.6</fb>
    <v>10</v>
  </rv>
  <rv s="2">
    <fb>2409.5</fb>
    <v>10</v>
  </rv>
  <rv s="2">
    <fb>2400.9</fb>
    <v>10</v>
  </rv>
  <rv s="2">
    <fb>2378.4</fb>
    <v>10</v>
  </rv>
  <rv s="2">
    <fb>2352.6</fb>
    <v>10</v>
  </rv>
  <rv s="2">
    <fb>2373</fb>
    <v>10</v>
  </rv>
  <rv s="2">
    <fb>2350.6999999999998</fb>
    <v>10</v>
  </rv>
  <rv s="2">
    <fb>2357.3000000000002</fb>
    <v>10</v>
  </rv>
  <rv s="2">
    <fb>2368.6</fb>
    <v>10</v>
  </rv>
  <rv s="2">
    <fb>2371</fb>
    <v>10</v>
  </rv>
  <rv s="2">
    <fb>2354.4</fb>
    <v>10</v>
  </rv>
  <rv s="2">
    <fb>2424.1999999999998</fb>
    <v>10</v>
  </rv>
  <rv s="2">
    <fb>2435</fb>
    <v>10</v>
  </rv>
  <rv s="2">
    <fb>2453.6</fb>
    <v>10</v>
  </rv>
  <rv s="2">
    <fb>2462.9</fb>
    <v>10</v>
  </rv>
  <rv s="2">
    <fb>2409.6999999999998</fb>
    <v>10</v>
  </rv>
  <rv s="2">
    <fb>2305.1999999999998</fb>
    <v>10</v>
  </rv>
  <rv s="2">
    <fb>2319</fb>
    <v>10</v>
  </rv>
  <rv s="2">
    <fb>2312.3000000000002</fb>
    <v>10</v>
  </rv>
  <rv s="2">
    <fb>2323.5</fb>
    <v>10</v>
  </rv>
  <rv s="2">
    <fb>2279.3000000000002</fb>
    <v>10</v>
  </rv>
  <rv s="2">
    <fb>2314.5</fb>
    <v>10</v>
  </rv>
  <rv s="3">
    <v>https://www.bing.com/financeapi/forcetrigger?t=ah8bkr&amp;q=XBOM%3a500875&amp;form=skydnc</v>
    <v>Learn more on Bing</v>
  </rv>
  <rv s="4">
    <v>en-IN</v>
    <v>ah8bkr</v>
    <v>268435456</v>
    <v>1</v>
    <v>Powered by Refinitiv</v>
    <v>6</v>
    <v>ITC LIMITED (XBOM:500875)</v>
    <v>7</v>
    <v>8</v>
    <v>Finance</v>
    <v>9</v>
    <v>444.15</v>
    <v>302</v>
    <v>0.88819999999999999</v>
    <v>1.25</v>
    <v>3.8369999999999997E-3</v>
    <v>INR</v>
    <v>ITC Limited is an India-based diversified conglomerate company. The Company’s segments include Fast Moving Consumer Goods (FMCG), Paperboards, Paper and Packaging, and Agri Business. The FMCG segment comprises products, such as cigarettes, cigars, education and stationery supplies, personal care items, safety matches, agarbattis, and branded packaged foods, which include staples and meals, snacks, dairy and beverages, biscuits and cakes, chocolates, coffee, and confectionery. The Paperboards, Paper and Packaging segment includes specialty paper and flexible packaging. The Agri Business segment involves trading of agricultural commodities such as wheat, rice, spices, coffee, soya, and leaf tobacco. Its FMCG brands include Aashirvaad, Sunfeast, Yippee!, Bingo!, B Natural, 24 Mantra Organic, ITC Master Chef, Fabelle, Sunbean, Fiama, Vivel, Savlon, Classmate, Paperkraft, Mangaldeep, and others. Its personal care brands feature EDW Essenza, Dermafique, Fiama, Vivel, Engage, and others.</v>
    <v>22041</v>
    <v>Bombay Stock Exchange</v>
    <v>XBOM</v>
    <v>XBOM</v>
    <v>Virginia House, 37 Jawaharlal Nehru Road, KOLKATA, WEST BENGAL, 700071 IN</v>
    <v>327.95</v>
    <v>Food &amp; Tobacco</v>
    <v>Stock</v>
    <v>46073.687777777777</v>
    <v>1761</v>
    <v>325.25</v>
    <v>4193443000000</v>
    <v>ITC LIMITED</v>
    <v>ITC LIMITED</v>
    <v>325.75</v>
    <v>20.02</v>
    <v>325.75</v>
    <v>327</v>
    <v>12529230000</v>
    <v>500875</v>
    <v>ITC LIMITED (XBOM:500875)</v>
    <v>300282</v>
    <v>19613830</v>
    <v>1910</v>
  </rv>
  <rv s="1">
    <v>1762</v>
  </rv>
  <rv s="2">
    <fb>401.85</fb>
    <v>10</v>
  </rv>
  <rv s="2">
    <fb>404.85</fb>
    <v>10</v>
  </rv>
  <rv s="2">
    <fb>401.45</fb>
    <v>10</v>
  </rv>
  <rv s="2">
    <fb>394.7</fb>
    <v>10</v>
  </rv>
  <rv s="2">
    <fb>397.55</fb>
    <v>10</v>
  </rv>
  <rv s="2">
    <fb>394.85</fb>
    <v>10</v>
  </rv>
  <rv s="2">
    <fb>405.35</fb>
    <v>10</v>
  </rv>
  <rv s="2">
    <fb>405.75</fb>
    <v>10</v>
  </rv>
  <rv s="2">
    <fb>403.8</fb>
    <v>10</v>
  </rv>
  <rv s="2">
    <fb>405.05</fb>
    <v>10</v>
  </rv>
  <rv s="2">
    <fb>406.1</fb>
    <v>10</v>
  </rv>
  <rv s="2">
    <fb>412.1</fb>
    <v>10</v>
  </rv>
  <rv s="2">
    <fb>411.85</fb>
    <v>10</v>
  </rv>
  <rv s="2">
    <fb>407.8</fb>
    <v>10</v>
  </rv>
  <rv s="2">
    <fb>409.4</fb>
    <v>10</v>
  </rv>
  <rv s="2">
    <fb>403.05</fb>
    <v>10</v>
  </rv>
  <rv s="2">
    <fb>403.7</fb>
    <v>10</v>
  </rv>
  <rv s="2">
    <fb>405.8</fb>
    <v>10</v>
  </rv>
  <rv s="2">
    <fb>410.95</fb>
    <v>10</v>
  </rv>
  <rv s="2">
    <fb>409.9</fb>
    <v>10</v>
  </rv>
  <rv s="2">
    <fb>407.05</fb>
    <v>10</v>
  </rv>
  <rv s="2">
    <fb>409.8</fb>
    <v>10</v>
  </rv>
  <rv s="2">
    <fb>406.65</fb>
    <v>10</v>
  </rv>
  <rv s="2">
    <fb>408.95</fb>
    <v>10</v>
  </rv>
  <rv s="2">
    <fb>409.3</fb>
    <v>10</v>
  </rv>
  <rv s="2">
    <fb>409.55</fb>
    <v>10</v>
  </rv>
  <rv s="2">
    <fb>406.05</fb>
    <v>10</v>
  </rv>
  <rv s="2">
    <fb>412.55</fb>
    <v>10</v>
  </rv>
  <rv s="2">
    <fb>416.15</fb>
    <v>10</v>
  </rv>
  <rv s="2">
    <fb>421.8</fb>
    <v>10</v>
  </rv>
  <rv s="2">
    <fb>420.3</fb>
    <v>10</v>
  </rv>
  <rv s="2">
    <fb>427.25</fb>
    <v>10</v>
  </rv>
  <rv s="2">
    <fb>422.8</fb>
    <v>10</v>
  </rv>
  <rv s="2">
    <fb>433.7</fb>
    <v>10</v>
  </rv>
  <rv s="2">
    <fb>430.75</fb>
    <v>10</v>
  </rv>
  <rv s="2">
    <fb>430.1</fb>
    <v>10</v>
  </rv>
  <rv s="2">
    <fb>428.15</fb>
    <v>10</v>
  </rv>
  <rv s="2">
    <fb>428.8</fb>
    <v>10</v>
  </rv>
  <rv s="2">
    <fb>425.9</fb>
    <v>10</v>
  </rv>
  <rv s="2">
    <fb>425.3</fb>
    <v>10</v>
  </rv>
  <rv s="2">
    <fb>430.15</fb>
    <v>10</v>
  </rv>
  <rv s="2">
    <fb>437.1</fb>
    <v>10</v>
  </rv>
  <rv s="2">
    <fb>435.65</fb>
    <v>10</v>
  </rv>
  <rv s="2">
    <fb>430.65</fb>
    <v>10</v>
  </rv>
  <rv s="2">
    <fb>430.35</fb>
    <v>10</v>
  </rv>
  <rv s="2">
    <fb>423.5</fb>
    <v>10</v>
  </rv>
  <rv s="2">
    <fb>435.5</fb>
    <v>10</v>
  </rv>
  <rv s="2">
    <fb>428.05</fb>
    <v>10</v>
  </rv>
  <rv s="2">
    <fb>429.3</fb>
    <v>10</v>
  </rv>
  <rv s="2">
    <fb>435.6</fb>
    <v>10</v>
  </rv>
  <rv s="2">
    <fb>435.1</fb>
    <v>10</v>
  </rv>
  <rv s="2">
    <fb>432.95</fb>
    <v>10</v>
  </rv>
  <rv s="2">
    <fb>436.3</fb>
    <v>10</v>
  </rv>
  <rv s="2">
    <fb>442.8</fb>
    <v>10</v>
  </rv>
  <rv s="2">
    <fb>433.9</fb>
    <v>10</v>
  </rv>
  <rv s="2">
    <fb>420.1</fb>
    <v>10</v>
  </rv>
  <rv s="2">
    <fb>418.75</fb>
    <v>10</v>
  </rv>
  <rv s="2">
    <fb>417.9</fb>
    <v>10</v>
  </rv>
  <rv s="2">
    <fb>419.35</fb>
    <v>10</v>
  </rv>
  <rv s="2">
    <fb>416.8</fb>
    <v>10</v>
  </rv>
  <rv s="2">
    <fb>416.7</fb>
    <v>10</v>
  </rv>
  <rv s="2">
    <fb>419.3</fb>
    <v>10</v>
  </rv>
  <rv s="2">
    <fb>420.9</fb>
    <v>10</v>
  </rv>
  <rv s="2">
    <fb>423.05</fb>
    <v>10</v>
  </rv>
  <rv s="2">
    <fb>427.1</fb>
    <v>10</v>
  </rv>
  <rv s="2">
    <fb>413.9</fb>
    <v>10</v>
  </rv>
  <rv s="2">
    <fb>418.1</fb>
    <v>10</v>
  </rv>
  <rv s="2">
    <fb>417.35</fb>
    <v>10</v>
  </rv>
  <rv s="2">
    <fb>415.8</fb>
    <v>10</v>
  </rv>
  <rv s="2">
    <fb>416</fb>
    <v>10</v>
  </rv>
  <rv s="2">
    <fb>418.45</fb>
    <v>10</v>
  </rv>
  <rv s="2">
    <fb>414.6</fb>
    <v>10</v>
  </rv>
  <rv s="2">
    <fb>414.25</fb>
    <v>10</v>
  </rv>
  <rv s="2">
    <fb>416.35</fb>
    <v>10</v>
  </rv>
  <rv s="2">
    <fb>420.35</fb>
    <v>10</v>
  </rv>
  <rv s="2">
    <fb>418.95</fb>
    <v>10</v>
  </rv>
  <rv s="2">
    <fb>416.5</fb>
    <v>10</v>
  </rv>
  <rv s="2">
    <fb>415.2</fb>
    <v>10</v>
  </rv>
  <rv s="2">
    <fb>412.9</fb>
    <v>10</v>
  </rv>
  <rv s="2">
    <fb>413.55</fb>
    <v>10</v>
  </rv>
  <rv s="2">
    <fb>417.05</fb>
    <v>10</v>
  </rv>
  <rv s="2">
    <fb>416.9</fb>
    <v>10</v>
  </rv>
  <rv s="2">
    <fb>422.15</fb>
    <v>10</v>
  </rv>
  <rv s="2">
    <fb>424.45</fb>
    <v>10</v>
  </rv>
  <rv s="2">
    <fb>423.8</fb>
    <v>10</v>
  </rv>
  <rv s="2">
    <fb>422.65</fb>
    <v>10</v>
  </rv>
  <rv s="2">
    <fb>420.15</fb>
    <v>10</v>
  </rv>
  <rv s="2">
    <fb>416.1</fb>
    <v>10</v>
  </rv>
  <rv s="2">
    <fb>414.95</fb>
    <v>10</v>
  </rv>
  <rv s="2">
    <fb>409.35</fb>
    <v>10</v>
  </rv>
  <rv s="2">
    <fb>408.55</fb>
    <v>10</v>
  </rv>
  <rv s="2">
    <fb>407.7</fb>
    <v>10</v>
  </rv>
  <rv s="2">
    <fb>411.8</fb>
    <v>10</v>
  </rv>
  <rv s="2">
    <fb>416.65</fb>
    <v>10</v>
  </rv>
  <rv s="2">
    <fb>414.05</fb>
    <v>10</v>
  </rv>
  <rv s="2">
    <fb>412</fb>
    <v>10</v>
  </rv>
  <rv s="2">
    <fb>413.6</fb>
    <v>10</v>
  </rv>
  <rv s="2">
    <fb>414.4</fb>
    <v>10</v>
  </rv>
  <rv s="2">
    <fb>416.4</fb>
    <v>10</v>
  </rv>
  <rv s="2">
    <fb>414</fb>
    <v>10</v>
  </rv>
  <rv s="2">
    <fb>411.4</fb>
    <v>10</v>
  </rv>
  <rv s="2">
    <fb>406.2</fb>
    <v>10</v>
  </rv>
  <rv s="2">
    <fb>409.05</fb>
    <v>10</v>
  </rv>
  <rv s="2">
    <fb>406</fb>
    <v>10</v>
  </rv>
  <rv s="2">
    <fb>398.3</fb>
    <v>10</v>
  </rv>
  <rv s="2">
    <fb>399.4</fb>
    <v>10</v>
  </rv>
  <rv s="2">
    <fb>403.1</fb>
    <v>10</v>
  </rv>
  <rv s="2">
    <fb>400.7</fb>
    <v>10</v>
  </rv>
  <rv s="2">
    <fb>409.75</fb>
    <v>10</v>
  </rv>
  <rv s="2">
    <fb>405.7</fb>
    <v>10</v>
  </rv>
  <rv s="2">
    <fb>411.5</fb>
    <v>10</v>
  </rv>
  <rv s="2">
    <fb>415.85</fb>
    <v>10</v>
  </rv>
  <rv s="2">
    <fb>407.5</fb>
    <v>10</v>
  </rv>
  <rv s="2">
    <fb>407.4</fb>
    <v>10</v>
  </rv>
  <rv s="2">
    <fb>410.2</fb>
    <v>10</v>
  </rv>
  <rv s="2">
    <fb>412.95</fb>
    <v>10</v>
  </rv>
  <rv s="2">
    <fb>415</fb>
    <v>10</v>
  </rv>
  <rv s="2">
    <fb>412.65</fb>
    <v>10</v>
  </rv>
  <rv s="2">
    <fb>413.15</fb>
    <v>10</v>
  </rv>
  <rv s="2">
    <fb>411.95</fb>
    <v>10</v>
  </rv>
  <rv s="2">
    <fb>410.15</fb>
    <v>10</v>
  </rv>
  <rv s="2">
    <fb>407.1</fb>
    <v>10</v>
  </rv>
  <rv s="2">
    <fb>403.35</fb>
    <v>10</v>
  </rv>
  <rv s="2">
    <fb>401.25</fb>
    <v>10</v>
  </rv>
  <rv s="2">
    <fb>400.2</fb>
    <v>10</v>
  </rv>
  <rv s="2">
    <fb>406.45</fb>
    <v>10</v>
  </rv>
  <rv s="2">
    <fb>401.6</fb>
    <v>10</v>
  </rv>
  <rv s="2">
    <fb>405.65</fb>
    <v>10</v>
  </rv>
  <rv s="2">
    <fb>404.35</fb>
    <v>10</v>
  </rv>
  <rv s="2">
    <fb>400.8</fb>
    <v>10</v>
  </rv>
  <rv s="2">
    <fb>399.85</fb>
    <v>10</v>
  </rv>
  <rv s="2">
    <fb>399.7</fb>
    <v>10</v>
  </rv>
  <rv s="2">
    <fb>399.9</fb>
    <v>10</v>
  </rv>
  <rv s="2">
    <fb>402.8</fb>
    <v>10</v>
  </rv>
  <rv s="2">
    <fb>399.1</fb>
    <v>10</v>
  </rv>
  <rv s="2">
    <fb>396.7</fb>
    <v>10</v>
  </rv>
  <rv s="2">
    <fb>400.05</fb>
    <v>10</v>
  </rv>
  <rv s="2">
    <fb>412.85</fb>
    <v>10</v>
  </rv>
  <rv s="2">
    <fb>417.1</fb>
    <v>10</v>
  </rv>
  <rv s="2">
    <fb>417.95</fb>
    <v>10</v>
  </rv>
  <rv s="2">
    <fb>418.7</fb>
    <v>10</v>
  </rv>
  <rv s="2">
    <fb>420.25</fb>
    <v>10</v>
  </rv>
  <rv s="2">
    <fb>413.95</fb>
    <v>10</v>
  </rv>
  <rv s="2">
    <fb>408.6</fb>
    <v>10</v>
  </rv>
  <rv s="2">
    <fb>407.3</fb>
    <v>10</v>
  </rv>
  <rv s="2">
    <fb>404</fb>
    <v>10</v>
  </rv>
  <rv s="2">
    <fb>406.85</fb>
    <v>10</v>
  </rv>
  <rv s="2">
    <fb>407.85</fb>
    <v>10</v>
  </rv>
  <rv s="2">
    <fb>403.55</fb>
    <v>10</v>
  </rv>
  <rv s="2">
    <fb>405.5</fb>
    <v>10</v>
  </rv>
  <rv s="2">
    <fb>403.6</fb>
    <v>10</v>
  </rv>
  <rv s="2">
    <fb>402.25</fb>
    <v>10</v>
  </rv>
  <rv s="2">
    <fb>403.95</fb>
    <v>10</v>
  </rv>
  <rv s="2">
    <fb>404.4</fb>
    <v>10</v>
  </rv>
  <rv s="2">
    <fb>400.55</fb>
    <v>10</v>
  </rv>
  <rv s="2">
    <fb>404.8</fb>
    <v>10</v>
  </rv>
  <rv s="2">
    <fb>402.15</fb>
    <v>10</v>
  </rv>
  <rv s="2">
    <fb>400.85</fb>
    <v>10</v>
  </rv>
  <rv s="2">
    <fb>400.5</fb>
    <v>10</v>
  </rv>
  <rv s="2">
    <fb>402.3</fb>
    <v>10</v>
  </rv>
  <rv s="2">
    <fb>401.7</fb>
    <v>10</v>
  </rv>
  <rv s="2">
    <fb>399.95</fb>
    <v>10</v>
  </rv>
  <rv s="2">
    <fb>401.1</fb>
    <v>10</v>
  </rv>
  <rv s="2">
    <fb>402.55</fb>
    <v>10</v>
  </rv>
  <rv s="2">
    <fb>407.65</fb>
    <v>10</v>
  </rv>
  <rv s="2">
    <fb>404.3</fb>
    <v>10</v>
  </rv>
  <rv s="2">
    <fb>402.4</fb>
    <v>10</v>
  </rv>
  <rv s="2">
    <fb>400.6</fb>
    <v>10</v>
  </rv>
  <rv s="2">
    <fb>403</fb>
    <v>10</v>
  </rv>
  <rv s="2">
    <fb>363.95</fb>
    <v>10</v>
  </rv>
  <rv s="2">
    <fb>350.15</fb>
    <v>10</v>
  </rv>
  <rv s="2">
    <fb>349.7</fb>
    <v>10</v>
  </rv>
  <rv s="2">
    <fb>342.45</fb>
    <v>10</v>
  </rv>
  <rv s="2">
    <fb>341.35</fb>
    <v>10</v>
  </rv>
  <rv s="2">
    <fb>340.9</fb>
    <v>10</v>
  </rv>
  <rv s="2">
    <fb>337.1</fb>
    <v>10</v>
  </rv>
  <rv s="2">
    <fb>338.35</fb>
    <v>10</v>
  </rv>
  <rv s="2">
    <fb>334.65</fb>
    <v>10</v>
  </rv>
  <rv s="2">
    <fb>334.75</fb>
    <v>10</v>
  </rv>
  <rv s="2">
    <fb>329.25</fb>
    <v>10</v>
  </rv>
  <rv s="2">
    <fb>332.9</fb>
    <v>10</v>
  </rv>
  <rv s="2">
    <fb>326.39999999999998</fb>
    <v>10</v>
  </rv>
  <rv s="2">
    <fb>324.7</fb>
    <v>10</v>
  </rv>
  <rv s="2">
    <fb>324.89999999999998</fb>
    <v>10</v>
  </rv>
  <rv s="2">
    <fb>323.45</fb>
    <v>10</v>
  </rv>
  <rv s="2">
    <fb>318.8</fb>
    <v>10</v>
  </rv>
  <rv s="2">
    <fb>321.25</fb>
    <v>10</v>
  </rv>
  <rv s="2">
    <fb>318.64999999999998</fb>
    <v>10</v>
  </rv>
  <rv s="2">
    <fb>322.2</fb>
    <v>10</v>
  </rv>
  <rv s="2">
    <fb>309.60000000000002</fb>
    <v>10</v>
  </rv>
  <rv s="2">
    <fb>316.7</fb>
    <v>10</v>
  </rv>
  <rv s="2">
    <fb>313.85000000000002</fb>
    <v>10</v>
  </rv>
  <rv s="2">
    <fb>310.25</fb>
    <v>10</v>
  </rv>
  <rv s="2">
    <fb>326.05</fb>
    <v>10</v>
  </rv>
  <rv s="2">
    <fb>322.55</fb>
    <v>10</v>
  </rv>
  <rv s="2">
    <fb>321.35000000000002</fb>
    <v>10</v>
  </rv>
  <rv s="2">
    <fb>318.2</fb>
    <v>10</v>
  </rv>
  <rv s="2">
    <fb>317.64999999999998</fb>
    <v>10</v>
  </rv>
  <rv s="2">
    <fb>313.60000000000002</fb>
    <v>10</v>
  </rv>
  <rv s="2">
    <fb>317.95</fb>
    <v>10</v>
  </rv>
  <rv s="2">
    <fb>325.75</fb>
    <v>10</v>
  </rv>
  <rv s="2">
    <fb>327</fb>
    <v>10</v>
  </rv>
  <rv s="3">
    <v>https://www.bing.com/financeapi/forcetrigger?t=ahirxm&amp;q=XNSE%3aLT&amp;form=skydnc</v>
    <v>Learn more on Bing</v>
  </rv>
  <rv s="4">
    <v>en-IN</v>
    <v>ahirxm</v>
    <v>268435456</v>
    <v>1</v>
    <v>Powered by Refinitiv</v>
    <v>6</v>
    <v>LARSEN AND TOUBRO LIMITED (XNSE:LT)</v>
    <v>7</v>
    <v>8</v>
    <v>Finance</v>
    <v>14</v>
    <v>4390</v>
    <v>2965.3</v>
    <v>1.0492999999999999</v>
    <v>100.1</v>
    <v>2.3385E-2</v>
    <v>INR</v>
    <v>Larsen and Toubro Limited is a multinational company, which is engaged in engineering, procurement, and construction (EPC) projects, and hi-tech manufacturing. The Company’s segments include Infrastructure Projects, Energy Projects, Hi-Tech Manufacturing, IT &amp; Technology Services, Financial Services, Development Projects, and Others. Energy Projects segment comprises Hydrocarbon Onshore and Offshore businesses covering EPC solutions in oil &amp; gas, refineries, petrochemicals &amp; offshore wind energy sectors, procurement, construction, installation and commissioning; CarbonLite Solutions business covering BTG scope for power generation plants Including associated systems and/or carbon capture utilization &amp; utility packages, and EPC solutions in clean energy space. IT &amp; Technology Services segment comprises information technology and integrated engineering services (including smart world and communication projects), e-commerce/digital platforms &amp; data centers, and semiconductor chip design.</v>
    <v>58244</v>
    <v>National Stock Exchange of India</v>
    <v>XNSE</v>
    <v>XNSE</v>
    <v>L&amp;T House, Ballard Estate, P. O. Box: 278, MUMBAI, MAHARASHTRA, 400001 IN</v>
    <v>4390</v>
    <v>Construction &amp; Engineering</v>
    <v>Stock</v>
    <v>46073.46465277778</v>
    <v>1966</v>
    <v>4267.1000000000004</v>
    <v>5347433000000</v>
    <v>LARSEN AND TOUBRO LIMITED</v>
    <v>LARSEN AND TOUBRO LIMITED</v>
    <v>4267.1000000000004</v>
    <v>36.22</v>
    <v>4280.5</v>
    <v>4380.6000000000004</v>
    <v>1375612000</v>
    <v>LT</v>
    <v>LARSEN AND TOUBRO LIMITED (XNSE:LT)</v>
    <v>2542442</v>
    <v>1885880</v>
    <v>1946</v>
  </rv>
  <rv s="1">
    <v>1967</v>
  </rv>
  <rv s="3">
    <v>https://www.bing.com/financeapi/forcetrigger?t=ahhkkr&amp;q=XNSE%3aDIXON&amp;form=skydnc</v>
    <v>Learn more on Bing</v>
  </rv>
  <rv s="4">
    <v>en-IN</v>
    <v>ahhkkr</v>
    <v>268435456</v>
    <v>1</v>
    <v>Powered by Refinitiv</v>
    <v>6</v>
    <v>DIXON TECHNOLOGIES (INDIA) LIMITED (XNSE:DIXON)</v>
    <v>7</v>
    <v>8</v>
    <v>Finance</v>
    <v>14</v>
    <v>18471</v>
    <v>9835</v>
    <v>0.84509999999999996</v>
    <v>-165</v>
    <v>-1.4683999999999999E-2</v>
    <v>INR</v>
    <v>Dixon Technologies (India) Limited is an India-based electronics manufacturing services (EMS) provider. The Company is engaged in manufacturing various verticals, including consumer durables, lighting solutions, home appliances, and mobile phones. It operates through a single segment, which is Electronics Goods. Its product portfolio can be categorized into consumer electronics, home appliances, lighting products, mobile phones and EMS. Its consumer electronics include light-emitting diode (LED) televisions (TVs) and refrigerators. Its home appliances include washing machines. Its lighting products include LED bulbs, outdoor lighting, smart lights, battens, and downlighters. Its mobile phones and EMS include smartphones, information technology (IT) hardware, telecommunications, hearables, and wearables. It offers reverse logistics services such as repair and refurbishment of LED TV panels.</v>
    <v>4447</v>
    <v>National Stock Exchange of India</v>
    <v>XNSE</v>
    <v>XNSE</v>
    <v>B 14 &amp; 15, Noida Phase II, NOIDA, UTTAR PRADESH, 201305 IN</v>
    <v>11286</v>
    <v>Computers, Phones &amp; Household Electronics</v>
    <v>Stock</v>
    <v>46073.464675925927</v>
    <v>1969</v>
    <v>11007</v>
    <v>681986400000</v>
    <v>DIXON TECHNOLOGIES (INDIA) LIMITED</v>
    <v>DIXON TECHNOLOGIES (INDIA) LIMITED</v>
    <v>11150</v>
    <v>40.47</v>
    <v>11237</v>
    <v>11072</v>
    <v>60801890</v>
    <v>DIXON</v>
    <v>DIXON TECHNOLOGIES (INDIA) LIMITED (XNSE:DIXON)</v>
    <v>485095</v>
    <v>481310</v>
    <v>1993</v>
  </rv>
  <rv s="1">
    <v>1970</v>
  </rv>
  <rv s="2">
    <fb>14043.35</fb>
    <v>10</v>
  </rv>
  <rv s="2">
    <fb>14151.6</fb>
    <v>10</v>
  </rv>
  <rv s="2">
    <fb>13824.3</fb>
    <v>10</v>
  </rv>
  <rv s="2">
    <fb>13935.85</fb>
    <v>10</v>
  </rv>
  <rv s="2">
    <fb>14051.75</fb>
    <v>10</v>
  </rv>
  <rv s="2">
    <fb>14190.35</fb>
    <v>10</v>
  </rv>
  <rv s="2">
    <fb>14497.45</fb>
    <v>10</v>
  </rv>
  <rv s="2">
    <fb>14256.25</fb>
    <v>10</v>
  </rv>
  <rv s="2">
    <fb>13911.25</fb>
    <v>10</v>
  </rv>
  <rv s="2">
    <fb>13131.15</fb>
    <v>10</v>
  </rv>
  <rv s="2">
    <fb>13298.9</fb>
    <v>10</v>
  </rv>
  <rv s="2">
    <fb>13078.95</fb>
    <v>10</v>
  </rv>
  <rv s="2">
    <fb>13324.05</fb>
    <v>10</v>
  </rv>
  <rv s="2">
    <fb>13098.2</fb>
    <v>10</v>
  </rv>
  <rv s="2">
    <fb>13470.15</fb>
    <v>10</v>
  </rv>
  <rv s="2">
    <fb>13875.6</fb>
    <v>10</v>
  </rv>
  <rv s="2">
    <fb>13905.7</fb>
    <v>10</v>
  </rv>
  <rv s="2">
    <fb>14056.8</fb>
    <v>10</v>
  </rv>
  <rv s="2">
    <fb>14608.35</fb>
    <v>10</v>
  </rv>
  <rv s="2">
    <fb>13624.5</fb>
    <v>10</v>
  </rv>
  <rv s="2">
    <fb>13260.4</fb>
    <v>10</v>
  </rv>
  <rv s="2">
    <fb>13510.8</fb>
    <v>10</v>
  </rv>
  <rv s="2">
    <fb>13179.5</fb>
    <v>10</v>
  </rv>
  <rv s="2">
    <fb>12923.9</fb>
    <v>10</v>
  </rv>
  <rv s="2">
    <fb>13450.7</fb>
    <v>10</v>
  </rv>
  <rv s="2">
    <fb>13487.95</fb>
    <v>10</v>
  </rv>
  <rv s="2">
    <fb>13137.55</fb>
    <v>10</v>
  </rv>
  <rv s="2">
    <fb>12556.05</fb>
    <v>10</v>
  </rv>
  <rv s="2">
    <fb>12991.8</fb>
    <v>10</v>
  </rv>
  <rv s="2">
    <fb>13282.45</fb>
    <v>10</v>
  </rv>
  <rv s="2">
    <fb>14301.9</fb>
    <v>10</v>
  </rv>
  <rv s="2">
    <fb>14931</fb>
    <v>10</v>
  </rv>
  <rv s="2">
    <fb>15252</fb>
    <v>10</v>
  </rv>
  <rv s="2">
    <fb>15323</fb>
    <v>10</v>
  </rv>
  <rv s="2">
    <fb>15816</fb>
    <v>10</v>
  </rv>
  <rv s="2">
    <fb>16675</fb>
    <v>10</v>
  </rv>
  <rv s="2">
    <fb>16607</fb>
    <v>10</v>
  </rv>
  <rv s="2">
    <fb>16588</fb>
    <v>10</v>
  </rv>
  <rv s="2">
    <fb>16219</fb>
    <v>10</v>
  </rv>
  <rv s="2">
    <fb>16415</fb>
    <v>10</v>
  </rv>
  <rv s="2">
    <fb>16614</fb>
    <v>10</v>
  </rv>
  <rv s="2">
    <fb>16452</fb>
    <v>10</v>
  </rv>
  <rv s="2">
    <fb>16347</fb>
    <v>10</v>
  </rv>
  <rv s="2">
    <fb>16710</fb>
    <v>10</v>
  </rv>
  <rv s="2">
    <fb>16056</fb>
    <v>10</v>
  </rv>
  <rv s="2">
    <fb>16095</fb>
    <v>10</v>
  </rv>
  <rv s="2">
    <fb>15626</fb>
    <v>10</v>
  </rv>
  <rv s="2">
    <fb>15190</fb>
    <v>10</v>
  </rv>
  <rv s="2">
    <fb>16073</fb>
    <v>10</v>
  </rv>
  <rv s="2">
    <fb>16121</fb>
    <v>10</v>
  </rv>
  <rv s="2">
    <fb>16433</fb>
    <v>10</v>
  </rv>
  <rv s="2">
    <fb>16660</fb>
    <v>10</v>
  </rv>
  <rv s="2">
    <fb>16574</fb>
    <v>10</v>
  </rv>
  <rv s="2">
    <fb>16566</fb>
    <v>10</v>
  </rv>
  <rv s="2">
    <fb>15612</fb>
    <v>10</v>
  </rv>
  <rv s="2">
    <fb>15170</fb>
    <v>10</v>
  </rv>
  <rv s="2">
    <fb>15019</fb>
    <v>10</v>
  </rv>
  <rv s="2">
    <fb>15085</fb>
    <v>10</v>
  </rv>
  <rv s="2">
    <fb>15091</fb>
    <v>10</v>
  </rv>
  <rv s="2">
    <fb>14816</fb>
    <v>10</v>
  </rv>
  <rv s="2">
    <fb>14808</fb>
    <v>10</v>
  </rv>
  <rv s="2">
    <fb>14692</fb>
    <v>10</v>
  </rv>
  <rv s="2">
    <fb>14612</fb>
    <v>10</v>
  </rv>
  <rv s="2">
    <fb>14453</fb>
    <v>10</v>
  </rv>
  <rv s="2">
    <fb>14956</fb>
    <v>10</v>
  </rv>
  <rv s="2">
    <fb>14694</fb>
    <v>10</v>
  </rv>
  <rv s="2">
    <fb>14855</fb>
    <v>10</v>
  </rv>
  <rv s="2">
    <fb>14914</fb>
    <v>10</v>
  </rv>
  <rv s="2">
    <fb>14982</fb>
    <v>10</v>
  </rv>
  <rv s="2">
    <fb>14790</fb>
    <v>10</v>
  </rv>
  <rv s="2">
    <fb>14518</fb>
    <v>10</v>
  </rv>
  <rv s="2">
    <fb>14311</fb>
    <v>10</v>
  </rv>
  <rv s="2">
    <fb>14313</fb>
    <v>10</v>
  </rv>
  <rv s="2">
    <fb>14243</fb>
    <v>10</v>
  </rv>
  <rv s="2">
    <fb>14367</fb>
    <v>10</v>
  </rv>
  <rv s="2">
    <fb>14004</fb>
    <v>10</v>
  </rv>
  <rv s="2">
    <fb>14047</fb>
    <v>10</v>
  </rv>
  <rv s="2">
    <fb>14571</fb>
    <v>10</v>
  </rv>
  <rv s="2">
    <fb>14506</fb>
    <v>10</v>
  </rv>
  <rv s="2">
    <fb>14165</fb>
    <v>10</v>
  </rv>
  <rv s="2">
    <fb>14315</fb>
    <v>10</v>
  </rv>
  <rv s="2">
    <fb>14473</fb>
    <v>10</v>
  </rv>
  <rv s="2">
    <fb>14983</fb>
    <v>10</v>
  </rv>
  <rv s="2">
    <fb>14716</fb>
    <v>10</v>
  </rv>
  <rv s="2">
    <fb>15163</fb>
    <v>10</v>
  </rv>
  <rv s="2">
    <fb>15074</fb>
    <v>10</v>
  </rv>
  <rv s="2">
    <fb>15202</fb>
    <v>10</v>
  </rv>
  <rv s="2">
    <fb>15433</fb>
    <v>10</v>
  </rv>
  <rv s="2">
    <fb>15473</fb>
    <v>10</v>
  </rv>
  <rv s="2">
    <fb>15710</fb>
    <v>10</v>
  </rv>
  <rv s="2">
    <fb>15849</fb>
    <v>10</v>
  </rv>
  <rv s="2">
    <fb>15786</fb>
    <v>10</v>
  </rv>
  <rv s="2">
    <fb>15898</fb>
    <v>10</v>
  </rv>
  <rv s="2">
    <fb>15823</fb>
    <v>10</v>
  </rv>
  <rv s="2">
    <fb>16099</fb>
    <v>10</v>
  </rv>
  <rv s="2">
    <fb>16107</fb>
    <v>10</v>
  </rv>
  <rv s="2">
    <fb>15960</fb>
    <v>10</v>
  </rv>
  <rv s="2">
    <fb>16281</fb>
    <v>10</v>
  </rv>
  <rv s="2">
    <fb>16112</fb>
    <v>10</v>
  </rv>
  <rv s="2">
    <fb>16556</fb>
    <v>10</v>
  </rv>
  <rv s="2">
    <fb>16768</fb>
    <v>10</v>
  </rv>
  <rv s="2">
    <fb>16700</fb>
    <v>10</v>
  </rv>
  <rv s="2">
    <fb>16744</fb>
    <v>10</v>
  </rv>
  <rv s="2">
    <fb>16784</fb>
    <v>10</v>
  </rv>
  <rv s="2">
    <fb>16765</fb>
    <v>10</v>
  </rv>
  <rv s="2">
    <fb>16841</fb>
    <v>10</v>
  </rv>
  <rv s="2">
    <fb>16848</fb>
    <v>10</v>
  </rv>
  <rv s="2">
    <fb>17002</fb>
    <v>10</v>
  </rv>
  <rv s="2">
    <fb>16849</fb>
    <v>10</v>
  </rv>
  <rv s="2">
    <fb>16513</fb>
    <v>10</v>
  </rv>
  <rv s="2">
    <fb>16663</fb>
    <v>10</v>
  </rv>
  <rv s="2">
    <fb>15864</fb>
    <v>10</v>
  </rv>
  <rv s="2">
    <fb>16088</fb>
    <v>10</v>
  </rv>
  <rv s="2">
    <fb>15828</fb>
    <v>10</v>
  </rv>
  <rv s="2">
    <fb>15952</fb>
    <v>10</v>
  </rv>
  <rv s="2">
    <fb>16191</fb>
    <v>10</v>
  </rv>
  <rv s="2">
    <fb>16756</fb>
    <v>10</v>
  </rv>
  <rv s="2">
    <fb>16905</fb>
    <v>10</v>
  </rv>
  <rv s="2">
    <fb>16876</fb>
    <v>10</v>
  </rv>
  <rv s="2">
    <fb>16725</fb>
    <v>10</v>
  </rv>
  <rv s="2">
    <fb>16893</fb>
    <v>10</v>
  </rv>
  <rv s="2">
    <fb>17018</fb>
    <v>10</v>
  </rv>
  <rv s="2">
    <fb>16668</fb>
    <v>10</v>
  </rv>
  <rv s="2">
    <fb>16678</fb>
    <v>10</v>
  </rv>
  <rv s="2">
    <fb>16690</fb>
    <v>10</v>
  </rv>
  <rv s="2">
    <fb>17582</fb>
    <v>10</v>
  </rv>
  <rv s="2">
    <fb>17553</fb>
    <v>10</v>
  </rv>
  <rv s="2">
    <fb>17759</fb>
    <v>10</v>
  </rv>
  <rv s="2">
    <fb>17852</fb>
    <v>10</v>
  </rv>
  <rv s="2">
    <fb>17855</fb>
    <v>10</v>
  </rv>
  <rv s="2">
    <fb>18006</fb>
    <v>10</v>
  </rv>
  <rv s="2">
    <fb>18002</fb>
    <v>10</v>
  </rv>
  <rv s="2">
    <fb>17897</fb>
    <v>10</v>
  </rv>
  <rv s="2">
    <fb>18041</fb>
    <v>10</v>
  </rv>
  <rv s="2">
    <fb>18103</fb>
    <v>10</v>
  </rv>
  <rv s="2">
    <fb>17985</fb>
    <v>10</v>
  </rv>
  <rv s="2">
    <fb>18110</fb>
    <v>10</v>
  </rv>
  <rv s="2">
    <fb>18331</fb>
    <v>10</v>
  </rv>
  <rv s="2">
    <fb>18177</fb>
    <v>10</v>
  </rv>
  <rv s="2">
    <fb>18082</fb>
    <v>10</v>
  </rv>
  <rv s="2">
    <fb>18130</fb>
    <v>10</v>
  </rv>
  <rv s="2">
    <fb>18161</fb>
    <v>10</v>
  </rv>
  <rv s="2">
    <fb>18202</fb>
    <v>10</v>
  </rv>
  <rv s="2">
    <fb>17511</fb>
    <v>10</v>
  </rv>
  <rv s="2">
    <fb>16322</fb>
    <v>10</v>
  </rv>
  <rv s="2">
    <fb>16453</fb>
    <v>10</v>
  </rv>
  <rv s="2">
    <fb>16591</fb>
    <v>10</v>
  </rv>
  <rv s="2">
    <fb>17041</fb>
    <v>10</v>
  </rv>
  <rv s="2">
    <fb>17232</fb>
    <v>10</v>
  </rv>
  <rv s="2">
    <fb>16859</fb>
    <v>10</v>
  </rv>
  <rv s="2">
    <fb>17098</fb>
    <v>10</v>
  </rv>
  <rv s="2">
    <fb>17445</fb>
    <v>10</v>
  </rv>
  <rv s="2">
    <fb>17195</fb>
    <v>10</v>
  </rv>
  <rv s="2">
    <fb>16634</fb>
    <v>10</v>
  </rv>
  <rv s="2">
    <fb>16777</fb>
    <v>10</v>
  </rv>
  <rv s="2">
    <fb>16844</fb>
    <v>10</v>
  </rv>
  <rv s="2">
    <fb>16075</fb>
    <v>10</v>
  </rv>
  <rv s="2">
    <fb>16122</fb>
    <v>10</v>
  </rv>
  <rv s="2">
    <fb>15611</fb>
    <v>10</v>
  </rv>
  <rv s="2">
    <fb>15490</fb>
    <v>10</v>
  </rv>
  <rv s="2">
    <fb>15505</fb>
    <v>10</v>
  </rv>
  <rv s="2">
    <fb>15372</fb>
    <v>10</v>
  </rv>
  <rv s="2">
    <fb>15512</fb>
    <v>10</v>
  </rv>
  <rv s="2">
    <fb>15644</fb>
    <v>10</v>
  </rv>
  <rv s="2">
    <fb>15494</fb>
    <v>10</v>
  </rv>
  <rv s="2">
    <fb>15485</fb>
    <v>10</v>
  </rv>
  <rv s="2">
    <fb>15254</fb>
    <v>10</v>
  </rv>
  <rv s="2">
    <fb>15079</fb>
    <v>10</v>
  </rv>
  <rv s="2">
    <fb>14849</fb>
    <v>10</v>
  </rv>
  <rv s="2">
    <fb>14867</fb>
    <v>10</v>
  </rv>
  <rv s="2">
    <fb>15094</fb>
    <v>10</v>
  </rv>
  <rv s="2">
    <fb>15307</fb>
    <v>10</v>
  </rv>
  <rv s="2">
    <fb>15419</fb>
    <v>10</v>
  </rv>
  <rv s="2">
    <fb>15641</fb>
    <v>10</v>
  </rv>
  <rv s="2">
    <fb>15697</fb>
    <v>10</v>
  </rv>
  <rv s="2">
    <fb>15540</fb>
    <v>10</v>
  </rv>
  <rv s="2">
    <fb>15313</fb>
    <v>10</v>
  </rv>
  <rv s="2">
    <fb>14965</fb>
    <v>10</v>
  </rv>
  <rv s="2">
    <fb>14669</fb>
    <v>10</v>
  </rv>
  <rv s="2">
    <fb>14401</fb>
    <v>10</v>
  </rv>
  <rv s="2">
    <fb>14825</fb>
    <v>10</v>
  </rv>
  <rv s="2">
    <fb>14643</fb>
    <v>10</v>
  </rv>
  <rv s="2">
    <fb>14601</fb>
    <v>10</v>
  </rv>
  <rv s="2">
    <fb>14566</fb>
    <v>10</v>
  </rv>
  <rv s="2">
    <fb>14494</fb>
    <v>10</v>
  </rv>
  <rv s="2">
    <fb>14018</fb>
    <v>10</v>
  </rv>
  <rv s="2">
    <fb>13707</fb>
    <v>10</v>
  </rv>
  <rv s="2">
    <fb>13749</fb>
    <v>10</v>
  </rv>
  <rv s="2">
    <fb>13563</fb>
    <v>10</v>
  </rv>
  <rv s="2">
    <fb>13517</fb>
    <v>10</v>
  </rv>
  <rv s="2">
    <fb>12351</fb>
    <v>10</v>
  </rv>
  <rv s="2">
    <fb>12988</fb>
    <v>10</v>
  </rv>
  <rv s="2">
    <fb>13379</fb>
    <v>10</v>
  </rv>
  <rv s="2">
    <fb>13737</fb>
    <v>10</v>
  </rv>
  <rv s="2">
    <fb>13628</fb>
    <v>10</v>
  </rv>
  <rv s="2">
    <fb>13274</fb>
    <v>10</v>
  </rv>
  <rv s="2">
    <fb>13299</fb>
    <v>10</v>
  </rv>
  <rv s="2">
    <fb>13268</fb>
    <v>10</v>
  </rv>
  <rv s="2">
    <fb>12845</fb>
    <v>10</v>
  </rv>
  <rv s="2">
    <fb>12832</fb>
    <v>10</v>
  </rv>
  <rv s="2">
    <fb>12629</fb>
    <v>10</v>
  </rv>
  <rv s="2">
    <fb>12328</fb>
    <v>10</v>
  </rv>
  <rv s="2">
    <fb>11857</fb>
    <v>10</v>
  </rv>
  <rv s="2">
    <fb>11767</fb>
    <v>10</v>
  </rv>
  <rv s="2">
    <fb>12102</fb>
    <v>10</v>
  </rv>
  <rv s="2">
    <fb>12091</fb>
    <v>10</v>
  </rv>
  <rv s="2">
    <fb>12165</fb>
    <v>10</v>
  </rv>
  <rv s="2">
    <fb>12051</fb>
    <v>10</v>
  </rv>
  <rv s="2">
    <fb>11726</fb>
    <v>10</v>
  </rv>
  <rv s="2">
    <fb>11770</fb>
    <v>10</v>
  </rv>
  <rv s="2">
    <fb>11987</fb>
    <v>10</v>
  </rv>
  <rv s="2">
    <fb>11902</fb>
    <v>10</v>
  </rv>
  <rv s="2">
    <fb>11842</fb>
    <v>10</v>
  </rv>
  <rv s="2">
    <fb>11238</fb>
    <v>10</v>
  </rv>
  <rv s="2">
    <fb>11103</fb>
    <v>10</v>
  </rv>
  <rv s="2">
    <fb>10732</fb>
    <v>10</v>
  </rv>
  <rv s="2">
    <fb>11024</fb>
    <v>10</v>
  </rv>
  <rv s="2">
    <fb>10682</fb>
    <v>10</v>
  </rv>
  <rv s="2">
    <fb>10517</fb>
    <v>10</v>
  </rv>
  <rv s="2">
    <fb>10512</fb>
    <v>10</v>
  </rv>
  <rv s="2">
    <fb>10360</fb>
    <v>10</v>
  </rv>
  <rv s="2">
    <fb>10184</fb>
    <v>10</v>
  </rv>
  <rv s="2">
    <fb>10279</fb>
    <v>10</v>
  </rv>
  <rv s="2">
    <fb>10337</fb>
    <v>10</v>
  </rv>
  <rv s="2">
    <fb>10446</fb>
    <v>10</v>
  </rv>
  <rv s="2">
    <fb>10196</fb>
    <v>10</v>
  </rv>
  <rv s="2">
    <fb>10339</fb>
    <v>10</v>
  </rv>
  <rv s="2">
    <fb>11031</fb>
    <v>10</v>
  </rv>
  <rv s="2">
    <fb>11678</fb>
    <v>10</v>
  </rv>
  <rv s="2">
    <fb>11376</fb>
    <v>10</v>
  </rv>
  <rv s="2">
    <fb>11502</fb>
    <v>10</v>
  </rv>
  <rv s="2">
    <fb>11757</fb>
    <v>10</v>
  </rv>
  <rv s="2">
    <fb>11609</fb>
    <v>10</v>
  </rv>
  <rv s="2">
    <fb>11741</fb>
    <v>10</v>
  </rv>
  <rv s="2">
    <fb>486607</fb>
    <v>17</v>
  </rv>
  <rv s="2">
    <fb>10575</fb>
    <v>10</v>
  </rv>
  <rv s="2">
    <fb>10664</fb>
    <v>10</v>
  </rv>
  <rv s="2">
    <fb>10330</fb>
    <v>10</v>
  </rv>
  <rv s="2">
    <fb>702193</fb>
    <v>17</v>
  </rv>
  <rv s="2">
    <fb>10400</fb>
    <v>10</v>
  </rv>
  <rv s="2">
    <fb>9990</fb>
    <v>10</v>
  </rv>
  <rv s="2">
    <fb>661357</fb>
    <v>17</v>
  </rv>
  <rv s="2">
    <fb>10189</fb>
    <v>10</v>
  </rv>
  <rv s="2">
    <fb>10350</fb>
    <v>10</v>
  </rv>
  <rv s="2">
    <fb>10038</fb>
    <v>10</v>
  </rv>
  <rv s="2">
    <fb>672993</fb>
    <v>17</v>
  </rv>
  <rv s="2">
    <fb>10299</fb>
    <v>10</v>
  </rv>
  <rv s="2">
    <fb>10436</fb>
    <v>10</v>
  </rv>
  <rv s="2">
    <fb>10056</fb>
    <v>10</v>
  </rv>
  <rv s="2">
    <fb>1996677</fb>
    <v>17</v>
  </rv>
  <rv s="2">
    <fb>10100</fb>
    <v>10</v>
  </rv>
  <rv s="2">
    <fb>10843</fb>
    <v>10</v>
  </rv>
  <rv s="2">
    <fb>9835</fb>
    <v>10</v>
  </rv>
  <rv s="2">
    <fb>1489233</fb>
    <v>17</v>
  </rv>
  <rv s="2">
    <fb>10590</fb>
    <v>10</v>
  </rv>
  <rv s="2">
    <fb>11026</fb>
    <v>10</v>
  </rv>
  <rv s="2">
    <fb>9968</fb>
    <v>10</v>
  </rv>
  <rv s="2">
    <fb>822592</fb>
    <v>17</v>
  </rv>
  <rv s="2">
    <fb>10250</fb>
    <v>10</v>
  </rv>
  <rv s="2">
    <fb>10530</fb>
    <v>10</v>
  </rv>
  <rv s="2">
    <fb>10102</fb>
    <v>10</v>
  </rv>
  <rv s="2">
    <fb>1584528</fb>
    <v>17</v>
  </rv>
  <rv s="2">
    <fb>11100</fb>
    <v>10</v>
  </rv>
  <rv s="2">
    <fb>11200</fb>
    <v>10</v>
  </rv>
  <rv s="2">
    <fb>10852</fb>
    <v>10</v>
  </rv>
  <rv s="2">
    <fb>1509099</fb>
    <v>17</v>
  </rv>
  <rv s="2">
    <fb>11032</fb>
    <v>10</v>
  </rv>
  <rv s="2">
    <fb>11713</fb>
    <v>10</v>
  </rv>
  <rv s="2">
    <fb>10926</fb>
    <v>10</v>
  </rv>
  <rv s="2">
    <fb>1047347</fb>
    <v>17</v>
  </rv>
  <rv s="2">
    <fb>11700</fb>
    <v>10</v>
  </rv>
  <rv s="2">
    <fb>11154</fb>
    <v>10</v>
  </rv>
  <rv s="2">
    <fb>477648</fb>
    <v>17</v>
  </rv>
  <rv s="2">
    <fb>11349</fb>
    <v>10</v>
  </rv>
  <rv s="2">
    <fb>11549</fb>
    <v>10</v>
  </rv>
  <rv s="2">
    <fb>11172</fb>
    <v>10</v>
  </rv>
  <rv s="2">
    <fb>485574</fb>
    <v>17</v>
  </rv>
  <rv s="2">
    <fb>11655</fb>
    <v>10</v>
  </rv>
  <rv s="2">
    <fb>11845</fb>
    <v>10</v>
  </rv>
  <rv s="2">
    <fb>11550</fb>
    <v>10</v>
  </rv>
  <rv s="2">
    <fb>546495</fb>
    <v>17</v>
  </rv>
  <rv s="2">
    <fb>11820</fb>
    <v>10</v>
  </rv>
  <rv s="2">
    <fb>11847</fb>
    <v>10</v>
  </rv>
  <rv s="2">
    <fb>11563</fb>
    <v>10</v>
  </rv>
  <rv s="2">
    <fb>448093</fb>
    <v>17</v>
  </rv>
  <rv s="2">
    <fb>11640</fb>
    <v>10</v>
  </rv>
  <rv s="2">
    <fb>11766</fb>
    <v>10</v>
  </rv>
  <rv s="2">
    <fb>11490</fb>
    <v>10</v>
  </rv>
  <rv s="2">
    <fb>3257.7</fb>
    <v>10</v>
  </rv>
  <rv s="2">
    <fb>3225.9</fb>
    <v>10</v>
  </rv>
  <rv s="2">
    <fb>3209.5</fb>
    <v>10</v>
  </rv>
  <rv s="2">
    <fb>3163.85</fb>
    <v>10</v>
  </rv>
  <rv s="2">
    <fb>3197.3</fb>
    <v>10</v>
  </rv>
  <rv s="2">
    <fb>3213</fb>
    <v>10</v>
  </rv>
  <rv s="2">
    <fb>3239.65</fb>
    <v>10</v>
  </rv>
  <rv s="2">
    <fb>3259.9</fb>
    <v>10</v>
  </rv>
  <rv s="2">
    <fb>3244.7</fb>
    <v>10</v>
  </rv>
  <rv s="2">
    <fb>3177.7</fb>
    <v>10</v>
  </rv>
  <rv s="2">
    <fb>3195.45</fb>
    <v>10</v>
  </rv>
  <rv s="2">
    <fb>3193.65</fb>
    <v>10</v>
  </rv>
  <rv s="2">
    <fb>3187.3</fb>
    <v>10</v>
  </rv>
  <rv s="2">
    <fb>3173.45</fb>
    <v>10</v>
  </rv>
  <rv s="2">
    <fb>3270.7</fb>
    <v>10</v>
  </rv>
  <rv s="2">
    <fb>3319.55</fb>
    <v>10</v>
  </rv>
  <rv s="2">
    <fb>3351.05</fb>
    <v>10</v>
  </rv>
  <rv s="2">
    <fb>3415.95</fb>
    <v>10</v>
  </rv>
  <rv s="2">
    <fb>3481.85</fb>
    <v>10</v>
  </rv>
  <rv s="2">
    <fb>3469.6</fb>
    <v>10</v>
  </rv>
  <rv s="2">
    <fb>3444.8</fb>
    <v>10</v>
  </rv>
  <rv s="2">
    <fb>3501.6</fb>
    <v>10</v>
  </rv>
  <rv s="2">
    <fb>3492.3</fb>
    <v>10</v>
  </rv>
  <rv s="2">
    <fb>3436.8</fb>
    <v>10</v>
  </rv>
  <rv s="2">
    <fb>3419.9</fb>
    <v>10</v>
  </rv>
  <rv s="2">
    <fb>3420.15</fb>
    <v>10</v>
  </rv>
  <rv s="2">
    <fb>3260.15</fb>
    <v>10</v>
  </rv>
  <rv s="2">
    <fb>3068.5</fb>
    <v>10</v>
  </rv>
  <rv s="2">
    <fb>3161.1</fb>
    <v>10</v>
  </rv>
  <rv s="2">
    <fb>3054.15</fb>
    <v>10</v>
  </rv>
  <rv s="2">
    <fb>3115.95</fb>
    <v>10</v>
  </rv>
  <rv s="2">
    <fb>3257.6</fb>
    <v>10</v>
  </rv>
  <rv s="2">
    <fb>3227.7</fb>
    <v>10</v>
  </rv>
  <rv s="2">
    <fb>3247.3</fb>
    <v>10</v>
  </rv>
  <rv s="2">
    <fb>3280.5</fb>
    <v>10</v>
  </rv>
  <rv s="2">
    <fb>3257.8</fb>
    <v>10</v>
  </rv>
  <rv s="2">
    <fb>3301</fb>
    <v>10</v>
  </rv>
  <rv s="2">
    <fb>3300.6</fb>
    <v>10</v>
  </rv>
  <rv s="2">
    <fb>3272.1</fb>
    <v>10</v>
  </rv>
  <rv s="2">
    <fb>3327.3</fb>
    <v>10</v>
  </rv>
  <rv s="2">
    <fb>3322.3</fb>
    <v>10</v>
  </rv>
  <rv s="2">
    <fb>3341</fb>
    <v>10</v>
  </rv>
  <rv s="2">
    <fb>3329.8</fb>
    <v>10</v>
  </rv>
  <rv s="2">
    <fb>3330.2</fb>
    <v>10</v>
  </rv>
  <rv s="2">
    <fb>3334</fb>
    <v>10</v>
  </rv>
  <rv s="2">
    <fb>3321.4</fb>
    <v>10</v>
  </rv>
  <rv s="2">
    <fb>3323.9</fb>
    <v>10</v>
  </rv>
  <rv s="2">
    <fb>3443.9</fb>
    <v>10</v>
  </rv>
  <rv s="2">
    <fb>3587.2</fb>
    <v>10</v>
  </rv>
  <rv s="2">
    <fb>3567</fb>
    <v>10</v>
  </rv>
  <rv s="2">
    <fb>3573.1</fb>
    <v>10</v>
  </rv>
  <rv s="2">
    <fb>3618.2</fb>
    <v>10</v>
  </rv>
  <rv s="2">
    <fb>3604.7</fb>
    <v>10</v>
  </rv>
  <rv s="2">
    <fb>3600.2</fb>
    <v>10</v>
  </rv>
  <rv s="2">
    <fb>3567.8</fb>
    <v>10</v>
  </rv>
  <rv s="2">
    <fb>3589</fb>
    <v>10</v>
  </rv>
  <rv s="2">
    <fb>3551.4</fb>
    <v>10</v>
  </rv>
  <rv s="2">
    <fb>3599.9</fb>
    <v>10</v>
  </rv>
  <rv s="2">
    <fb>3648.7</fb>
    <v>10</v>
  </rv>
  <rv s="2">
    <fb>3640</fb>
    <v>10</v>
  </rv>
  <rv s="2">
    <fb>3646.3</fb>
    <v>10</v>
  </rv>
  <rv s="2">
    <fb>3655.3</fb>
    <v>10</v>
  </rv>
  <rv s="2">
    <fb>3675.1</fb>
    <v>10</v>
  </rv>
  <rv s="2">
    <fb>3679.6</fb>
    <v>10</v>
  </rv>
  <rv s="2">
    <fb>3644.8</fb>
    <v>10</v>
  </rv>
  <rv s="2">
    <fb>3626.5</fb>
    <v>10</v>
  </rv>
  <rv s="2">
    <fb>3642.6</fb>
    <v>10</v>
  </rv>
  <rv s="2">
    <fb>3656.3</fb>
    <v>10</v>
  </rv>
  <rv s="2">
    <fb>3678.9</fb>
    <v>10</v>
  </rv>
  <rv s="2">
    <fb>3679.8</fb>
    <v>10</v>
  </rv>
  <rv s="2">
    <fb>3684.8</fb>
    <v>10</v>
  </rv>
  <rv s="2">
    <fb>3603.9</fb>
    <v>10</v>
  </rv>
  <rv s="2">
    <fb>3587.4</fb>
    <v>10</v>
  </rv>
  <rv s="2">
    <fb>3628.7</fb>
    <v>10</v>
  </rv>
  <rv s="2">
    <fb>3622.3</fb>
    <v>10</v>
  </rv>
  <rv s="2">
    <fb>3601.5</fb>
    <v>10</v>
  </rv>
  <rv s="2">
    <fb>3621.1</fb>
    <v>10</v>
  </rv>
  <rv s="2">
    <fb>3662</fb>
    <v>10</v>
  </rv>
  <rv s="2">
    <fb>3583.7</fb>
    <v>10</v>
  </rv>
  <rv s="2">
    <fb>3604.8</fb>
    <v>10</v>
  </rv>
  <rv s="2">
    <fb>3619.8</fb>
    <v>10</v>
  </rv>
  <rv s="2">
    <fb>3659.6</fb>
    <v>10</v>
  </rv>
  <rv s="2">
    <fb>3679.2</fb>
    <v>10</v>
  </rv>
  <rv s="2">
    <fb>3669.8</fb>
    <v>10</v>
  </rv>
  <rv s="2">
    <fb>3666.7</fb>
    <v>10</v>
  </rv>
  <rv s="2">
    <fb>3596.8</fb>
    <v>10</v>
  </rv>
  <rv s="2">
    <fb>3582.9</fb>
    <v>10</v>
  </rv>
  <rv s="2">
    <fb>3594.6</fb>
    <v>10</v>
  </rv>
  <rv s="2">
    <fb>3581.4</fb>
    <v>10</v>
  </rv>
  <rv s="2">
    <fb>3606.4</fb>
    <v>10</v>
  </rv>
  <rv s="2">
    <fb>3579.7</fb>
    <v>10</v>
  </rv>
  <rv s="2">
    <fb>3574.7</fb>
    <v>10</v>
  </rv>
  <rv s="2">
    <fb>3540.6</fb>
    <v>10</v>
  </rv>
  <rv s="2">
    <fb>3495.9</fb>
    <v>10</v>
  </rv>
  <rv s="2">
    <fb>3494</fb>
    <v>10</v>
  </rv>
  <rv s="2">
    <fb>3503.8</fb>
    <v>10</v>
  </rv>
  <rv s="2">
    <fb>3474</fb>
    <v>10</v>
  </rv>
  <rv s="2">
    <fb>3464.8</fb>
    <v>10</v>
  </rv>
  <rv s="2">
    <fb>3502.8</fb>
    <v>10</v>
  </rv>
  <rv s="2">
    <fb>3464.6</fb>
    <v>10</v>
  </rv>
  <rv s="2">
    <fb>3484.9</fb>
    <v>10</v>
  </rv>
  <rv s="2">
    <fb>3477.5</fb>
    <v>10</v>
  </rv>
  <rv s="2">
    <fb>3442.9</fb>
    <v>10</v>
  </rv>
  <rv s="2">
    <fb>3422.2</fb>
    <v>10</v>
  </rv>
  <rv s="2">
    <fb>3495.6</fb>
    <v>10</v>
  </rv>
  <rv s="2">
    <fb>3665.1</fb>
    <v>10</v>
  </rv>
  <rv s="2">
    <fb>3636.5</fb>
    <v>10</v>
  </rv>
  <rv s="2">
    <fb>3587.3</fb>
    <v>10</v>
  </rv>
  <rv s="2">
    <fb>3631.1</fb>
    <v>10</v>
  </rv>
  <rv s="2">
    <fb>3652.6</fb>
    <v>10</v>
  </rv>
  <rv s="2">
    <fb>3628.4</fb>
    <v>10</v>
  </rv>
  <rv s="2">
    <fb>3641.6</fb>
    <v>10</v>
  </rv>
  <rv s="2">
    <fb>3607.6</fb>
    <v>10</v>
  </rv>
  <rv s="2">
    <fb>3668.4</fb>
    <v>10</v>
  </rv>
  <rv s="2">
    <fb>3686.1</fb>
    <v>10</v>
  </rv>
  <rv s="2">
    <fb>3693.7</fb>
    <v>10</v>
  </rv>
  <rv s="2">
    <fb>3677</fb>
    <v>10</v>
  </rv>
  <rv s="2">
    <fb>3635.1</fb>
    <v>10</v>
  </rv>
  <rv s="2">
    <fb>3613</fb>
    <v>10</v>
  </rv>
  <rv s="2">
    <fb>3592.3</fb>
    <v>10</v>
  </rv>
  <rv s="2">
    <fb>3612.6</fb>
    <v>10</v>
  </rv>
  <rv s="2">
    <fb>3595.8</fb>
    <v>10</v>
  </rv>
  <rv s="2">
    <fb>3603.1</fb>
    <v>10</v>
  </rv>
  <rv s="2">
    <fb>3541.3</fb>
    <v>10</v>
  </rv>
  <rv s="2">
    <fb>3560.1</fb>
    <v>10</v>
  </rv>
  <rv s="2">
    <fb>3601</fb>
    <v>10</v>
  </rv>
  <rv s="2">
    <fb>3598.4</fb>
    <v>10</v>
  </rv>
  <rv s="2">
    <fb>3574.9</fb>
    <v>10</v>
  </rv>
  <rv s="2">
    <fb>3600.8</fb>
    <v>10</v>
  </rv>
  <rv s="2">
    <fb>3592.6</fb>
    <v>10</v>
  </rv>
  <rv s="2">
    <fb>3553.6</fb>
    <v>10</v>
  </rv>
  <rv s="2">
    <fb>3529.6</fb>
    <v>10</v>
  </rv>
  <rv s="2">
    <fb>3525</fb>
    <v>10</v>
  </rv>
  <rv s="2">
    <fb>3550</fb>
    <v>10</v>
  </rv>
  <rv s="2">
    <fb>3539.7</fb>
    <v>10</v>
  </rv>
  <rv s="2">
    <fb>3579.8</fb>
    <v>10</v>
  </rv>
  <rv s="2">
    <fb>3586.2</fb>
    <v>10</v>
  </rv>
  <rv s="2">
    <fb>3667.8</fb>
    <v>10</v>
  </rv>
  <rv s="2">
    <fb>3685.5</fb>
    <v>10</v>
  </rv>
  <rv s="2">
    <fb>3686</fb>
    <v>10</v>
  </rv>
  <rv s="2">
    <fb>3675.4</fb>
    <v>10</v>
  </rv>
  <rv s="2">
    <fb>3644.5</fb>
    <v>10</v>
  </rv>
  <rv s="2">
    <fb>3657.6</fb>
    <v>10</v>
  </rv>
  <rv s="2">
    <fb>3673.8</fb>
    <v>10</v>
  </rv>
  <rv s="2">
    <fb>3644.4</fb>
    <v>10</v>
  </rv>
  <rv s="2">
    <fb>3729.5</fb>
    <v>10</v>
  </rv>
  <rv s="2">
    <fb>3688.4</fb>
    <v>10</v>
  </rv>
  <rv s="2">
    <fb>3659</fb>
    <v>10</v>
  </rv>
  <rv s="2">
    <fb>3670.3</fb>
    <v>10</v>
  </rv>
  <rv s="2">
    <fb>3733.1</fb>
    <v>10</v>
  </rv>
  <rv s="2">
    <fb>3737</fb>
    <v>10</v>
  </rv>
  <rv s="2">
    <fb>3729.7</fb>
    <v>10</v>
  </rv>
  <rv s="2">
    <fb>3729.8</fb>
    <v>10</v>
  </rv>
  <rv s="2">
    <fb>3769.2</fb>
    <v>10</v>
  </rv>
  <rv s="2">
    <fb>3784</fb>
    <v>10</v>
  </rv>
  <rv s="2">
    <fb>3769.5</fb>
    <v>10</v>
  </rv>
  <rv s="2">
    <fb>3744.3</fb>
    <v>10</v>
  </rv>
  <rv s="2">
    <fb>3828.7</fb>
    <v>10</v>
  </rv>
  <rv s="2">
    <fb>3861.8</fb>
    <v>10</v>
  </rv>
  <rv s="2">
    <fb>3839.4</fb>
    <v>10</v>
  </rv>
  <rv s="2">
    <fb>3872.7</fb>
    <v>10</v>
  </rv>
  <rv s="2">
    <fb>3888.2</fb>
    <v>10</v>
  </rv>
  <rv s="2">
    <fb>3918.7</fb>
    <v>10</v>
  </rv>
  <rv s="2">
    <fb>3904.9</fb>
    <v>10</v>
  </rv>
  <rv s="2">
    <fb>3923.8</fb>
    <v>10</v>
  </rv>
  <rv s="2">
    <fb>3972.8</fb>
    <v>10</v>
  </rv>
  <rv s="2">
    <fb>3958.1</fb>
    <v>10</v>
  </rv>
  <rv s="2">
    <fb>3987.5</fb>
    <v>10</v>
  </rv>
  <rv s="2">
    <fb>4030.9</fb>
    <v>10</v>
  </rv>
  <rv s="2">
    <fb>3980.5</fb>
    <v>10</v>
  </rv>
  <rv s="2">
    <fb>3924.4</fb>
    <v>10</v>
  </rv>
  <rv s="2">
    <fb>3881.6</fb>
    <v>10</v>
  </rv>
  <rv s="2">
    <fb>3882.5</fb>
    <v>10</v>
  </rv>
  <rv s="2">
    <fb>3918.5</fb>
    <v>10</v>
  </rv>
  <rv s="2">
    <fb>3955</fb>
    <v>10</v>
  </rv>
  <rv s="2">
    <fb>3954.6</fb>
    <v>10</v>
  </rv>
  <rv s="2">
    <fb>4002.5</fb>
    <v>10</v>
  </rv>
  <rv s="2">
    <fb>4004.4</fb>
    <v>10</v>
  </rv>
  <rv s="2">
    <fb>4027.7</fb>
    <v>10</v>
  </rv>
  <rv s="2">
    <fb>3999.6</fb>
    <v>10</v>
  </rv>
  <rv s="2">
    <fb>4019.6</fb>
    <v>10</v>
  </rv>
  <rv s="2">
    <fb>4037.4</fb>
    <v>10</v>
  </rv>
  <rv s="2">
    <fb>4024.9</fb>
    <v>10</v>
  </rv>
  <rv s="2">
    <fb>4013.3</fb>
    <v>10</v>
  </rv>
  <rv s="2">
    <fb>3996.7</fb>
    <v>10</v>
  </rv>
  <rv s="2">
    <fb>4062</fb>
    <v>10</v>
  </rv>
  <rv s="2">
    <fb>4081.3</fb>
    <v>10</v>
  </rv>
  <rv s="2">
    <fb>4069.6</fb>
    <v>10</v>
  </rv>
  <rv s="2">
    <fb>4073.2</fb>
    <v>10</v>
  </rv>
  <rv s="2">
    <fb>4030.5</fb>
    <v>10</v>
  </rv>
  <rv s="2">
    <fb>3988</fb>
    <v>10</v>
  </rv>
  <rv s="2">
    <fb>3983.6</fb>
    <v>10</v>
  </rv>
  <rv s="2">
    <fb>4038.2</fb>
    <v>10</v>
  </rv>
  <rv s="2">
    <fb>3997.5</fb>
    <v>10</v>
  </rv>
  <rv s="2">
    <fb>3991.3</fb>
    <v>10</v>
  </rv>
  <rv s="2">
    <fb>4003.9</fb>
    <v>10</v>
  </rv>
  <rv s="2">
    <fb>4074.1</fb>
    <v>10</v>
  </rv>
  <rv s="2">
    <fb>4092.3</fb>
    <v>10</v>
  </rv>
  <rv s="2">
    <fb>4063.8</fb>
    <v>10</v>
  </rv>
  <rv s="2">
    <fb>4062.4</fb>
    <v>10</v>
  </rv>
  <rv s="2">
    <fb>4031.1</fb>
    <v>10</v>
  </rv>
  <rv s="2">
    <fb>4073.5</fb>
    <v>10</v>
  </rv>
  <rv s="2">
    <fb>4072.4</fb>
    <v>10</v>
  </rv>
  <rv s="2">
    <fb>4058.8</fb>
    <v>10</v>
  </rv>
  <rv s="2">
    <fb>4053.6</fb>
    <v>10</v>
  </rv>
  <rv s="2">
    <fb>4047.3</fb>
    <v>10</v>
  </rv>
  <rv s="2">
    <fb>4038.7</fb>
    <v>10</v>
  </rv>
  <rv s="2">
    <fb>4052</fb>
    <v>10</v>
  </rv>
  <rv s="2">
    <fb>4083.5</fb>
    <v>10</v>
  </rv>
  <rv s="2">
    <fb>4140.3999999999996</fb>
    <v>10</v>
  </rv>
  <rv s="2">
    <fb>4163.3999999999996</fb>
    <v>10</v>
  </rv>
  <rv s="2">
    <fb>4150.3999999999996</fb>
    <v>10</v>
  </rv>
  <rv s="2">
    <fb>4140.6000000000004</fb>
    <v>10</v>
  </rv>
  <rv s="2">
    <fb>4157</fb>
    <v>10</v>
  </rv>
  <rv s="2">
    <fb>4028.4</fb>
    <v>10</v>
  </rv>
  <rv s="2">
    <fb>4025.2</fb>
    <v>10</v>
  </rv>
  <rv s="2">
    <fb>4019</fb>
    <v>10</v>
  </rv>
  <rv s="2">
    <fb>3887.4</fb>
    <v>10</v>
  </rv>
  <rv s="2">
    <fb>3865.8</fb>
    <v>10</v>
  </rv>
  <rv s="2">
    <fb>3856.4</fb>
    <v>10</v>
  </rv>
  <rv s="2">
    <fb>3869.8</fb>
    <v>10</v>
  </rv>
  <rv s="2">
    <fb>3810.5</fb>
    <v>10</v>
  </rv>
  <rv s="2">
    <fb>3766.5</fb>
    <v>10</v>
  </rv>
  <rv s="2">
    <fb>3793.8</fb>
    <v>10</v>
  </rv>
  <rv s="2">
    <fb>3743.8</fb>
    <v>10</v>
  </rv>
  <rv s="2">
    <fb>3787.8</fb>
    <v>10</v>
  </rv>
  <rv s="2">
    <fb>3794</fb>
    <v>10</v>
  </rv>
  <rv s="2">
    <fb>3932.9</fb>
    <v>10</v>
  </rv>
  <rv s="2">
    <fb>3932.3</fb>
    <v>10</v>
  </rv>
  <rv s="2">
    <fb>3814</fb>
    <v>10</v>
  </rv>
  <rv s="2">
    <fb>3921.3</fb>
    <v>10</v>
  </rv>
  <rv s="2">
    <fb>4038.8</fb>
    <v>10</v>
  </rv>
  <rv s="2">
    <fb>4087.1</fb>
    <v>10</v>
  </rv>
  <rv s="2">
    <fb>4063.3</fb>
    <v>10</v>
  </rv>
  <rv s="2">
    <fb>4068.1</fb>
    <v>10</v>
  </rv>
  <rv s="2">
    <fb>4113.6000000000004</fb>
    <v>10</v>
  </rv>
  <rv s="2">
    <fb>4169</fb>
    <v>10</v>
  </rv>
  <rv s="2">
    <fb>4170.3999999999996</fb>
    <v>10</v>
  </rv>
  <rv s="2">
    <fb>1898703</fb>
    <v>17</v>
  </rv>
  <rv s="2">
    <fb>3798</fb>
    <v>10</v>
  </rv>
  <rv s="2">
    <fb>3799.4</fb>
    <v>10</v>
  </rv>
  <rv s="2">
    <fb>3720.1</fb>
    <v>10</v>
  </rv>
  <rv s="2">
    <fb>2162193</fb>
    <v>17</v>
  </rv>
  <rv s="2">
    <fb>3815</fb>
    <v>10</v>
  </rv>
  <rv s="2">
    <fb>3739</fb>
    <v>10</v>
  </rv>
  <rv s="2">
    <fb>2111741</fb>
    <v>17</v>
  </rv>
  <rv s="2">
    <fb>3804.3</fb>
    <v>10</v>
  </rv>
  <rv s="2">
    <fb>3828.2</fb>
    <v>10</v>
  </rv>
  <rv s="2">
    <fb>3769.1</fb>
    <v>10</v>
  </rv>
  <rv s="2">
    <fb>4227139</fb>
    <v>17</v>
  </rv>
  <rv s="2">
    <fb>3860</fb>
    <v>10</v>
  </rv>
  <rv s="2">
    <fb>3960.9</fb>
    <v>10</v>
  </rv>
  <rv s="2">
    <fb>3843.6</fb>
    <v>10</v>
  </rv>
  <rv s="2">
    <fb>2208465</fb>
    <v>17</v>
  </rv>
  <rv s="2">
    <fb>3902.5</fb>
    <v>10</v>
  </rv>
  <rv s="2">
    <fb>3942.4</fb>
    <v>10</v>
  </rv>
  <rv s="2">
    <fb>3891.8</fb>
    <v>10</v>
  </rv>
  <rv s="2">
    <fb>2654727</fb>
    <v>17</v>
  </rv>
  <rv s="2">
    <fb>3953</fb>
    <v>10</v>
  </rv>
  <rv s="2">
    <fb>4042.8</fb>
    <v>10</v>
  </rv>
  <rv s="2">
    <fb>3756</fb>
    <v>10</v>
  </rv>
  <rv s="2">
    <fb>3034613</fb>
    <v>17</v>
  </rv>
  <rv s="2">
    <fb>3830.7</fb>
    <v>10</v>
  </rv>
  <rv s="2">
    <fb>3934.8</fb>
    <v>10</v>
  </rv>
  <rv s="2">
    <fb>3825</fb>
    <v>10</v>
  </rv>
  <rv s="2">
    <fb>3742190</fb>
    <v>17</v>
  </rv>
  <rv s="2">
    <fb>4117</fb>
    <v>10</v>
  </rv>
  <rv s="2">
    <fb>4122</fb>
    <v>10</v>
  </rv>
  <rv s="2">
    <fb>4030.6</fb>
    <v>10</v>
  </rv>
  <rv s="2">
    <fb>1403373</fb>
    <v>17</v>
  </rv>
  <rv s="2">
    <fb>4029</fb>
    <v>10</v>
  </rv>
  <rv s="2">
    <fb>4107</fb>
    <v>10</v>
  </rv>
  <rv s="2">
    <fb>4016.9</fb>
    <v>10</v>
  </rv>
  <rv s="2">
    <fb>1433240</fb>
    <v>17</v>
  </rv>
  <rv s="2">
    <fb>4088</fb>
    <v>10</v>
  </rv>
  <rv s="2">
    <fb>4088.5</fb>
    <v>10</v>
  </rv>
  <rv s="2">
    <fb>4035.9</fb>
    <v>10</v>
  </rv>
  <rv s="2">
    <fb>1630836</fb>
    <v>17</v>
  </rv>
  <rv s="2">
    <fb>4055</fb>
    <v>10</v>
  </rv>
  <rv s="2">
    <fb>4078</fb>
    <v>10</v>
  </rv>
  <rv s="2">
    <fb>4042.3</fb>
    <v>10</v>
  </rv>
  <rv s="2">
    <fb>1830267</fb>
    <v>17</v>
  </rv>
  <rv s="2">
    <fb>4073.9</fb>
    <v>10</v>
  </rv>
  <rv s="2">
    <fb>4124.7</fb>
    <v>10</v>
  </rv>
  <rv s="2">
    <fb>1890409</fb>
    <v>17</v>
  </rv>
  <rv s="2">
    <fb>4140</fb>
    <v>10</v>
  </rv>
  <rv s="2">
    <fb>4174.6000000000004</fb>
    <v>10</v>
  </rv>
  <rv s="2">
    <fb>4122.3999999999996</fb>
    <v>10</v>
  </rv>
  <rv s="2">
    <fb>1689489</fb>
    <v>17</v>
  </rv>
  <rv s="2">
    <fb>4172.8999999999996</fb>
    <v>10</v>
  </rv>
  <rv s="2">
    <fb>4187.7</fb>
    <v>10</v>
  </rv>
  <rv s="2">
    <fb>4140.3</fb>
    <v>10</v>
  </rv>
  <rv s="8">
    <v>18</v>
    <v>ahh7zr</v>
    <v>Daily</v>
    <v>45710</v>
    <v>46075</v>
    <v>0</v>
    <v>1</v>
    <v>639071424000000000,639073455941001129,0</v>
    <v>0</v>
    <v>ahh7zr</v>
    <v>XNSE:BIOCON</v>
    <v>1</v>
  </rv>
  <rv s="8">
    <v>18</v>
    <v>ahi3jc</v>
    <v>Daily</v>
    <v>45710</v>
    <v>46075</v>
    <v>0</v>
    <v>1</v>
    <v>639071424000000000,639073455940766290,0</v>
    <v>0</v>
    <v>ahi3jc</v>
    <v>XNSE:HDFCBANK</v>
    <v>2</v>
  </rv>
  <rv s="8">
    <v>18</v>
    <v>ahi62w</v>
    <v>Daily</v>
    <v>45710</v>
    <v>46075</v>
    <v>0</v>
    <v>1</v>
    <v>639071424000000000,639073455940891974,0</v>
    <v>0</v>
    <v>ahi62w</v>
    <v>XNSE:HINDUNILVR</v>
    <v>3</v>
  </rv>
  <rv s="8">
    <v>18</v>
    <v>ah82oc</v>
    <v>Daily</v>
    <v>45710</v>
    <v>46075</v>
    <v>0</v>
    <v>1</v>
    <v>639071424000000000,639073455941016489,0</v>
    <v>0</v>
    <v>ah82oc</v>
    <v>XBOM:500325</v>
    <v>4</v>
  </rv>
  <rv s="8">
    <v>18</v>
    <v>ahju6h</v>
    <v>Daily</v>
    <v>45710</v>
    <v>46075</v>
    <v>0</v>
    <v>1</v>
    <v>639071424000000000,639073455940764280,0</v>
    <v>0</v>
    <v>ahju6h</v>
    <v>XNSE:SBIN</v>
    <v>5</v>
  </rv>
  <rv s="8">
    <v>18</v>
    <v>ahk6a2</v>
    <v>Daily</v>
    <v>45710</v>
    <v>46075</v>
    <v>0</v>
    <v>1</v>
    <v>639071424000000000,639073455940638544,0</v>
    <v>0</v>
    <v>ahk6a2</v>
    <v>XNSE:SUNPHARMA</v>
    <v>6</v>
  </rv>
  <rv s="8">
    <v>18</v>
    <v>ah8bkr</v>
    <v>Daily</v>
    <v>45710</v>
    <v>46075</v>
    <v>0</v>
    <v>1</v>
    <v>639071424000000000,639073457931184276,0</v>
    <v>0</v>
    <v>ah8bkr</v>
    <v>XBOM:500875</v>
    <v>7</v>
  </rv>
  <rv s="9">
    <v>19</v>
    <v>XNSE:DIXON</v>
    <v>Daily</v>
    <v>46045</v>
    <v>46075</v>
    <v>0</v>
    <v>1</v>
    <v>639063648000000000,639073455941101514,0</v>
    <v>8</v>
    <v/>
    <v/>
    <v>9</v>
    <v>10</v>
    <v>11</v>
    <v>12</v>
    <v>13</v>
  </rv>
  <rv s="8">
    <v>18</v>
    <v>XNSE:DIXON</v>
    <v>Daily</v>
    <v>45710</v>
    <v>46075</v>
    <v>0</v>
    <v>1</v>
    <v>639063648000000000,639073455941611181,0</v>
    <v>14</v>
    <v/>
    <v/>
    <v>15</v>
  </rv>
  <rv s="8">
    <v>18</v>
    <v>cinvhw</v>
    <v>Daily</v>
    <v>45710</v>
    <v>46075</v>
    <v>0</v>
    <v>1</v>
    <v>639071424000000000,639073455941299819,0</v>
    <v>16</v>
    <v>cinvhw</v>
    <v>XNSE:TMCV</v>
    <v>17</v>
  </rv>
  <rv s="8">
    <v>18</v>
    <v>XNSE:LT</v>
    <v>Daily</v>
    <v>45710</v>
    <v>46075</v>
    <v>0</v>
    <v>1</v>
    <v>639063648000000000,639073455941410165,0</v>
    <v>14</v>
    <v/>
    <v/>
    <v>18</v>
  </rv>
  <rv s="9">
    <v>19</v>
    <v>XNSE:LT</v>
    <v>Daily</v>
    <v>46045</v>
    <v>46075</v>
    <v>0</v>
    <v>1</v>
    <v>639063648000000000,639073455941511604,0</v>
    <v>8</v>
    <v/>
    <v/>
    <v>19</v>
    <v>20</v>
    <v>21</v>
    <v>22</v>
    <v>23</v>
  </rv>
  <rv s="10">
    <v>24</v>
  </rv>
  <rv s="11">
    <v>{187C5815-0DB0-4C46-8488-56B333BD51CE}</v>
    <v>0</v>
    <v>20</v>
    <v>2564</v>
  </rv>
</rvData>
</file>

<file path=xl/richData/rdrichvaluestructure.xml><?xml version="1.0" encoding="utf-8"?>
<rvStructures xmlns="http://schemas.microsoft.com/office/spreadsheetml/2017/richdata" count="1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Instrument type" t="s"/>
    <k n="Last trade time"/>
    <k n="Name" t="s"/>
    <k n="Previous close"/>
    <k n="Price"/>
    <k n="Ticker symbol" t="s"/>
    <k n="UniqueName" t="s"/>
  </s>
  <s t="_linkedentity">
    <k n="%cvi" t="r"/>
  </s>
  <s t="_formattednumber">
    <k n="_Format" t="spb"/>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error">
    <k n="errorType" t="i"/>
    <k n="subType" t="i"/>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stockhistorycache">
    <k n="_Format" t="spb"/>
    <k n="Symbol" t="s"/>
    <k n="Interval" t="s"/>
    <k n="StartDate" t="i"/>
    <k n="EndDate" t="i"/>
    <k n="f1904" t="b"/>
    <k n="fdcompat" t="b"/>
    <k n="etag" t="s"/>
    <k n="Date" t="a"/>
    <k n="EntityId" t="s"/>
    <k n="Instrument" t="s"/>
    <k n="Close" t="a"/>
  </s>
  <s t="_stockhistorycache">
    <k n="_Format" t="spb"/>
    <k n="Symbol" t="s"/>
    <k n="Interval" t="s"/>
    <k n="StartDate" t="i"/>
    <k n="EndDate" t="i"/>
    <k n="f1904" t="b"/>
    <k n="fdcompat" t="b"/>
    <k n="etag" t="s"/>
    <k n="Date" t="a"/>
    <k n="EntityId" t="s"/>
    <k n="Instrument" t="s"/>
    <k n="Close" t="a"/>
    <k n="Open" t="a"/>
    <k n="High" t="a"/>
    <k n="Low" t="a"/>
    <k n="Volume" t="a"/>
  </s>
  <s t="_array">
    <k n="array" t="a"/>
  </s>
  <s t="_datasourcecontainer">
    <k n="%XLUID" t="s"/>
    <k n="_CRID" t="i"/>
    <k n="_Display" t="spb"/>
    <k n="Stock" t="r"/>
  </s>
</rvStructures>
</file>

<file path=xl/richData/rdsupportingpropertybag.xml><?xml version="1.0" encoding="utf-8"?>
<supportingPropertyBags xmlns="http://schemas.microsoft.com/office/spreadsheetml/2017/richdata2">
  <spbArrays count="5">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
      <v t="s">Stock</v>
      <v t="s">_CRID</v>
      <v t="s">%XLUID</v>
      <v t="s">_Display</v>
    </a>
  </spbArrays>
  <spbData count="21">
    <spb s="0">
      <v>0</v>
      <v>Name</v>
    </spb>
    <spb s="1">
      <v>0</v>
      <v>0</v>
      <v>0</v>
    </spb>
    <spb s="2">
      <v>1</v>
      <v>1</v>
    </spb>
    <spb s="3">
      <v>1</v>
      <v>2</v>
      <v>2</v>
      <v>3</v>
      <v>2</v>
      <v>2</v>
      <v>2</v>
      <v>4</v>
      <v>5</v>
    </spb>
    <spb s="4">
      <v>GMT</v>
    </spb>
    <spb s="5">
      <v>6</v>
    </spb>
    <spb s="6">
      <v>1</v>
      <v>Name</v>
      <v>LearnMoreOnLink</v>
    </spb>
    <spb s="7">
      <v>1</v>
      <v>1</v>
      <v>1</v>
      <v>1</v>
    </spb>
    <spb s="8">
      <v>2</v>
      <v>7</v>
      <v>7</v>
      <v>2</v>
      <v>1</v>
      <v>2</v>
      <v>2</v>
      <v>2</v>
      <v>8</v>
      <v>8</v>
      <v>3</v>
      <v>9</v>
      <v>2</v>
      <v>2</v>
      <v>2</v>
      <v>8</v>
      <v>4</v>
      <v>10</v>
      <v>5</v>
      <v>8</v>
    </spb>
    <spb s="9">
      <v>Delayed 15 minutes</v>
      <v>from previous close</v>
      <v>from previous close</v>
      <v>GMT</v>
    </spb>
    <spb s="5">
      <v>2</v>
    </spb>
    <spb s="0">
      <v>2</v>
      <v>Name</v>
    </spb>
    <spb s="10">
      <v>1</v>
      <v>1</v>
      <v>1</v>
    </spb>
    <spb s="11">
      <v>2</v>
      <v>7</v>
      <v>7</v>
      <v>2</v>
      <v>1</v>
      <v>2</v>
      <v>2</v>
      <v>2</v>
      <v>8</v>
      <v>3</v>
      <v>9</v>
      <v>2</v>
      <v>2</v>
      <v>2</v>
      <v>8</v>
      <v>4</v>
      <v>10</v>
      <v>5</v>
      <v>8</v>
    </spb>
    <spb s="9">
      <v>Delayed 5 minutes</v>
      <v>from previous close</v>
      <v>from previous close</v>
      <v>GMT</v>
    </spb>
    <spb s="6">
      <v>3</v>
      <v>Name</v>
      <v>LearnMoreOnLink</v>
    </spb>
    <spb s="12">
      <v>2</v>
      <v>7</v>
      <v>7</v>
      <v>2</v>
      <v>1</v>
      <v>2</v>
      <v>2</v>
      <v>2</v>
      <v>8</v>
      <v>8</v>
      <v>3</v>
      <v>9</v>
      <v>2</v>
      <v>2</v>
      <v>2</v>
      <v>8</v>
      <v>4</v>
      <v>5</v>
      <v>8</v>
    </spb>
    <spb s="5">
      <v>8</v>
    </spb>
    <spb s="13">
      <v>6</v>
      <v>2</v>
    </spb>
    <spb s="14">
      <v>2</v>
      <v>6</v>
      <v>2</v>
      <v>2</v>
      <v>2</v>
      <v>8</v>
    </spb>
    <spb s="15">
      <v>4</v>
    </spb>
  </spbData>
</supportingPropertyBags>
</file>

<file path=xl/richData/rdsupportingpropertybagstructure.xml><?xml version="1.0" encoding="utf-8"?>
<spbStructures xmlns="http://schemas.microsoft.com/office/spreadsheetml/2017/richdata2" count="16">
  <s>
    <k n="^Order" t="spba"/>
    <k n="TitleProperty" t="s"/>
  </s>
  <s>
    <k n="ShowInCardView" t="b"/>
    <k n="ShowInDotNotation" t="b"/>
    <k n="ShowInAutoComplete" t="b"/>
  </s>
  <s>
    <k n="UniqueName" t="spb"/>
    <k n="`%ProviderInfo" t="spb"/>
  </s>
  <s>
    <k n="Name" t="i"/>
    <k n="Price" t="i"/>
    <k n="Change" t="i"/>
    <k n="Change (%)" t="i"/>
    <k n="52 week low" t="i"/>
    <k n="52 week high" t="i"/>
    <k n="Previous close" t="i"/>
    <k n="Last trade time" t="i"/>
    <k n="`%EntityServiceId" t="i"/>
  </s>
  <s>
    <k n="Last trade time" t="s"/>
  </s>
  <s>
    <k n="_Self" t="i"/>
  </s>
  <s>
    <k n="^Order" t="spba"/>
    <k n="TitleProperty" t="s"/>
    <k n="SubTitleProperty"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ExchangeID" t="spb"/>
    <k n="UniqueName" t="spb"/>
    <k n="`%ProviderInfo" t="spb"/>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Date" t="i"/>
    <k n="Close" t="i"/>
  </s>
  <s>
    <k n="Low" t="i"/>
    <k n="Date" t="i"/>
    <k n="High" t="i"/>
    <k n="Open" t="i"/>
    <k n="Close" t="i"/>
    <k n="Volume" t="i"/>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27" formatCode="dd/mm/yyyy\ hh:mm"/>
    </x:dxf>
    <x:dxf>
      <x:numFmt numFmtId="0" formatCode="General"/>
    </x:dxf>
    <x:dxf>
      <x:numFmt numFmtId="3" formatCode="#,##0"/>
    </x:dxf>
    <x:dxf>
      <x:numFmt numFmtId="4" formatCode="#,##0.00"/>
    </x:dxf>
    <x:dxf>
      <x:numFmt numFmtId="1" formatCode="0"/>
    </x:dxf>
    <x:dxf>
      <x:numFmt numFmtId="14" formatCode="0.00%"/>
    </x:dxf>
    <x:dxf>
      <x:numFmt numFmtId="19" formatCode="dd/mm/yyyy"/>
    </x:dxf>
  </dxfs>
  <richProperties>
    <rPr n="IsTitleField" t="b"/>
    <rPr n="NumberFormat" t="s"/>
  </richProperties>
  <richStyles>
    <rSty>
      <rpv i="0">1</rpv>
    </rSty>
    <rSty dxfid="2">
      <rpv i="1" xml:space="preserve">_ [$₹-en-IN] * #,##0.00_ ;_ [$₹-en-IN] * -#,##0.00_ ;_ [$₹-en-IN] * "-"??_ ;_ @_ </rpv>
    </rSty>
    <rSty dxfid="6"/>
    <rSty dxfid="1"/>
    <rSty dxfid="0">
      <rpv i="1">0.00</rpv>
    </rSty>
    <rSty dxfid="7"/>
    <rSty dxfid="4">
      <rpv i="1">#,##0.00</rpv>
    </rSty>
    <rSty dxfid="3">
      <rpv i="1">#,##0</rpv>
    </rSty>
    <rSty dxfid="2">
      <rpv i="1" xml:space="preserve">_ [$₹-en-IN] * #,##0_ ;_ [$₹-en-IN] * -#,##0_ ;_ [$₹-en-IN] * "-"_ ;_ @_ </rpv>
    </rSty>
    <rSty dxfid="5">
      <rpv i="1">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E4D14B-6A48-4EF6-A409-6A80CBF15FFB}" name="Ledger" displayName="Ledger" ref="A3:G11" totalsRowShown="0">
  <autoFilter ref="A3:G11" xr:uid="{55E4D14B-6A48-4EF6-A409-6A80CBF15FFB}"/>
  <tableColumns count="7">
    <tableColumn id="1" xr3:uid="{C516867F-D6FF-49FF-B566-06F7FF75E189}" name="Date"/>
    <tableColumn id="2" xr3:uid="{1117C359-D552-48B2-86E2-A30E9E907F2B}" name="Stock"/>
    <tableColumn id="3" xr3:uid="{2B63658F-62F0-45B6-A6DC-E17DA0AC99A2}" name="Transaction"/>
    <tableColumn id="4" xr3:uid="{4ECE8CAE-8B14-4122-AFDD-5B5FE19F5DE5}" name="Units"/>
    <tableColumn id="5" xr3:uid="{16D3F7A4-FBD7-4819-A1A1-B3FC37B5D2F3}" name="Price" dataDxfId="8"/>
    <tableColumn id="6" xr3:uid="{D76BC66D-AB12-43CC-9802-D69508CD52EB}" name="Currency " dataDxfId="7"/>
    <tableColumn id="7" xr3:uid="{F64BDDF4-8AF0-41C0-BFF1-FB2A302B93BF}" name="Transaction Amount" dataDxfId="6">
      <calculatedColumnFormula>Ledger[[#This Row],[Units]]*Ledger[[#This Row],[Price]]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E561E1-DDED-432F-BCBE-FB8EC3931BC0}" name="Table2" displayName="Table2" ref="A3:H6" totalsRowShown="0">
  <autoFilter ref="A3:H6" xr:uid="{12E561E1-DDED-432F-BCBE-FB8EC3931BC0}"/>
  <tableColumns count="8">
    <tableColumn id="1" xr3:uid="{45D368D5-96F3-4C45-BC3B-6C9512120CD1}" name="Stock"/>
    <tableColumn id="2" xr3:uid="{02B134CE-4D94-4835-A3DF-5AF2A0C79E4B}" name="Exchange" dataDxfId="5">
      <calculatedColumnFormula array="1">_FV(Table2[[#This Row],[Stock]],"Exchange abbreviation",TRUE)</calculatedColumnFormula>
    </tableColumn>
    <tableColumn id="3" xr3:uid="{76AD38CE-125A-43DC-ABDB-C54BE73C757B}" name="Ticker symbol">
      <calculatedColumnFormula array="1">_FV(Table2[[#This Row],[Stock]],"Ticker symbol",TRUE)</calculatedColumnFormula>
    </tableColumn>
    <tableColumn id="4" xr3:uid="{C478FBD0-D3B0-4030-AFAC-B56954ED7A73}" name="52 week high" dataDxfId="4">
      <calculatedColumnFormula array="1">_FV(Table2[[#This Row],[Stock]],"52 week high",TRUE)</calculatedColumnFormula>
    </tableColumn>
    <tableColumn id="5" xr3:uid="{49BF0EEA-95DE-458C-8627-AB1BD0AC7CA3}" name="52 week low" dataDxfId="3">
      <calculatedColumnFormula array="1">_FV(Table2[[#This Row],[Stock]],"52 week low",TRUE)</calculatedColumnFormula>
    </tableColumn>
    <tableColumn id="6" xr3:uid="{00FD25DA-010E-4289-B1F4-A8751F716893}" name="Price" dataDxfId="2">
      <calculatedColumnFormula array="1">_FV(Table2[[#This Row],[Stock]],"Price")</calculatedColumnFormula>
    </tableColumn>
    <tableColumn id="7" xr3:uid="{16587940-4291-415B-BBE7-8AFEFE82873D}" name="P/E" dataDxfId="1">
      <calculatedColumnFormula array="1">_FV(Table2[[#This Row],[Stock]],"P/E",TRUE)</calculatedColumnFormula>
    </tableColumn>
    <tableColumn id="8" xr3:uid="{49DE9691-8152-4C63-B053-8A413060F56A}" name="Change" dataDxfId="0">
      <calculatedColumnFormula array="1">_FV(Table2[[#This Row],[Stock]],"Change")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9CD5F-53A1-46CC-88E0-C4139BFEFF3C}">
  <dimension ref="B1:IW25"/>
  <sheetViews>
    <sheetView showGridLines="0" tabSelected="1" zoomScale="71" workbookViewId="0">
      <selection activeCell="K23" sqref="K23"/>
    </sheetView>
  </sheetViews>
  <sheetFormatPr defaultRowHeight="14.6" x14ac:dyDescent="0.4"/>
  <cols>
    <col min="1" max="1" width="1.69140625" style="13" customWidth="1"/>
    <col min="2" max="2" width="42.23046875" style="13" customWidth="1"/>
    <col min="3" max="3" width="36.07421875" style="13" customWidth="1"/>
    <col min="4" max="4" width="5.15234375" style="13" customWidth="1"/>
    <col min="5" max="5" width="11.84375" style="13" bestFit="1" customWidth="1"/>
    <col min="6" max="6" width="22.23046875" style="13" customWidth="1"/>
    <col min="7" max="7" width="13.69140625" style="13" customWidth="1"/>
    <col min="8" max="8" width="12.3046875" style="13" customWidth="1"/>
    <col min="9" max="9" width="15.23046875" style="13" customWidth="1"/>
    <col min="10" max="10" width="24.61328125" style="13" customWidth="1"/>
    <col min="11" max="11" width="9.23046875" style="13"/>
    <col min="12" max="19" width="10.3828125" style="13" bestFit="1" customWidth="1"/>
    <col min="20" max="20" width="10.3046875" style="13" bestFit="1" customWidth="1"/>
    <col min="21" max="24" width="10.23046875" style="13" bestFit="1" customWidth="1"/>
    <col min="25" max="16384" width="9.23046875" style="13"/>
  </cols>
  <sheetData>
    <row r="1" spans="2:257" ht="29.6" customHeight="1" x14ac:dyDescent="0.4">
      <c r="B1" s="7" t="s">
        <v>33</v>
      </c>
      <c r="C1" s="8"/>
      <c r="D1" s="9"/>
      <c r="E1" s="9"/>
      <c r="F1" s="10" t="s">
        <v>34</v>
      </c>
      <c r="G1" s="11" t="s">
        <v>5</v>
      </c>
      <c r="H1" s="11"/>
      <c r="I1" s="10" t="s">
        <v>21</v>
      </c>
      <c r="J1" s="12" t="e" vm="1">
        <v>#VALUE!</v>
      </c>
    </row>
    <row r="2" spans="2:257" x14ac:dyDescent="0.4">
      <c r="B2" s="8"/>
      <c r="C2" s="8"/>
      <c r="D2" s="9"/>
      <c r="E2" s="9"/>
      <c r="F2" s="14">
        <f ca="1">SUM(_xlfn.ANCHORARRAY(F6))</f>
        <v>236091.45</v>
      </c>
      <c r="G2" s="14">
        <f ca="1">SUM(_xlfn.ANCHORARRAY(G6))</f>
        <v>1320.349999999991</v>
      </c>
      <c r="H2" s="15">
        <f ca="1">G2/(F2-G2)</f>
        <v>5.6239886425543473E-3</v>
      </c>
      <c r="I2" s="16">
        <f ca="1">SUM(_xlfn.ANCHORARRAY(I6))</f>
        <v>-2019.8500000000022</v>
      </c>
      <c r="J2" s="17" t="str" cm="1">
        <f t="array" aca="1" ref="J2" ca="1">TEXT(_FV(J1,"Price"),IF(_FV(J1,"Price")-_FV(J1,"Previous close",TRUE)&gt;0,"₹0.0000▲","₹0.0000▼"))</f>
        <v>₹90.7010▼</v>
      </c>
      <c r="L2" s="18"/>
    </row>
    <row r="4" spans="2:257" x14ac:dyDescent="0.4">
      <c r="B4" s="19" t="s">
        <v>0</v>
      </c>
      <c r="C4" s="20"/>
      <c r="D4" s="20"/>
      <c r="E4" s="20"/>
      <c r="F4" s="20"/>
      <c r="G4" s="20"/>
      <c r="H4" s="20"/>
      <c r="I4" s="20"/>
      <c r="J4" s="20"/>
    </row>
    <row r="5" spans="2:257" ht="15" thickBot="1" x14ac:dyDescent="0.45">
      <c r="B5" s="21" t="s">
        <v>9</v>
      </c>
      <c r="C5" s="21" t="s">
        <v>1</v>
      </c>
      <c r="D5" s="21" t="s">
        <v>2</v>
      </c>
      <c r="E5" s="21" t="s">
        <v>3</v>
      </c>
      <c r="F5" s="21" t="s">
        <v>4</v>
      </c>
      <c r="G5" s="22" t="s">
        <v>5</v>
      </c>
      <c r="H5" s="22"/>
      <c r="I5" s="21" t="s">
        <v>6</v>
      </c>
      <c r="J5" s="21" t="s">
        <v>7</v>
      </c>
      <c r="L5" s="13" cm="1" vm="2">
        <f t="array" aca="1" ref="L5:IW6" ca="1">TRANSPOSE(_xlfn.STOCKHISTORY(B6,TODAY()-365,TODAY(),0,0,0,1))</f>
        <v>45712</v>
      </c>
      <c r="M5" s="13" vm="3">
        <f ca="1"/>
        <v>45713</v>
      </c>
      <c r="N5" s="13" vm="4">
        <f ca="1"/>
        <v>45715</v>
      </c>
      <c r="O5" s="13" vm="5">
        <f ca="1"/>
        <v>45716</v>
      </c>
      <c r="P5" s="13" vm="6">
        <f ca="1"/>
        <v>45719</v>
      </c>
      <c r="Q5" s="13" vm="7">
        <f ca="1"/>
        <v>45720</v>
      </c>
      <c r="R5" s="13" vm="8">
        <f ca="1"/>
        <v>45721</v>
      </c>
      <c r="S5" s="13" vm="9">
        <f ca="1"/>
        <v>45722</v>
      </c>
      <c r="T5" s="13" vm="10">
        <f ca="1"/>
        <v>45723</v>
      </c>
      <c r="U5" s="13" vm="11">
        <f ca="1"/>
        <v>45726</v>
      </c>
      <c r="V5" s="13" vm="12">
        <f ca="1"/>
        <v>45727</v>
      </c>
      <c r="W5" s="13" vm="13">
        <f ca="1"/>
        <v>45728</v>
      </c>
      <c r="X5" s="13" vm="14">
        <f ca="1"/>
        <v>45729</v>
      </c>
      <c r="Y5" s="13" vm="15">
        <f ca="1"/>
        <v>45733</v>
      </c>
      <c r="Z5" s="13" vm="16">
        <f ca="1"/>
        <v>45734</v>
      </c>
      <c r="AA5" s="13" vm="17">
        <f ca="1"/>
        <v>45735</v>
      </c>
      <c r="AB5" s="13" vm="18">
        <f ca="1"/>
        <v>45736</v>
      </c>
      <c r="AC5" s="13" vm="19">
        <f ca="1"/>
        <v>45737</v>
      </c>
      <c r="AD5" s="13" vm="20">
        <f ca="1"/>
        <v>45740</v>
      </c>
      <c r="AE5" s="13" vm="21">
        <f ca="1"/>
        <v>45741</v>
      </c>
      <c r="AF5" s="13" vm="22">
        <f ca="1"/>
        <v>45742</v>
      </c>
      <c r="AG5" s="13" vm="23">
        <f ca="1"/>
        <v>45743</v>
      </c>
      <c r="AH5" s="13" vm="24">
        <f ca="1"/>
        <v>45744</v>
      </c>
      <c r="AI5" s="13" vm="25">
        <f ca="1"/>
        <v>45748</v>
      </c>
      <c r="AJ5" s="13" vm="26">
        <f ca="1"/>
        <v>45749</v>
      </c>
      <c r="AK5" s="13" vm="27">
        <f ca="1"/>
        <v>45750</v>
      </c>
      <c r="AL5" s="13" vm="28">
        <f ca="1"/>
        <v>45751</v>
      </c>
      <c r="AM5" s="13" vm="29">
        <f ca="1"/>
        <v>45754</v>
      </c>
      <c r="AN5" s="13" vm="30">
        <f ca="1"/>
        <v>45755</v>
      </c>
      <c r="AO5" s="13" vm="31">
        <f ca="1"/>
        <v>45756</v>
      </c>
      <c r="AP5" s="13" vm="32">
        <f ca="1"/>
        <v>45758</v>
      </c>
      <c r="AQ5" s="13" vm="33">
        <f ca="1"/>
        <v>45762</v>
      </c>
      <c r="AR5" s="13" vm="34">
        <f ca="1"/>
        <v>45763</v>
      </c>
      <c r="AS5" s="13" vm="35">
        <f ca="1"/>
        <v>45764</v>
      </c>
      <c r="AT5" s="13" vm="36">
        <f ca="1"/>
        <v>45768</v>
      </c>
      <c r="AU5" s="13" vm="37">
        <f ca="1"/>
        <v>45769</v>
      </c>
      <c r="AV5" s="13" vm="38">
        <f ca="1"/>
        <v>45770</v>
      </c>
      <c r="AW5" s="13" vm="39">
        <f ca="1"/>
        <v>45771</v>
      </c>
      <c r="AX5" s="13" vm="40">
        <f ca="1"/>
        <v>45772</v>
      </c>
      <c r="AY5" s="13" vm="41">
        <f ca="1"/>
        <v>45775</v>
      </c>
      <c r="AZ5" s="13" vm="42">
        <f ca="1"/>
        <v>45776</v>
      </c>
      <c r="BA5" s="13" vm="43">
        <f ca="1"/>
        <v>45777</v>
      </c>
      <c r="BB5" s="13" vm="44">
        <f ca="1"/>
        <v>45779</v>
      </c>
      <c r="BC5" s="13" vm="45">
        <f ca="1"/>
        <v>45782</v>
      </c>
      <c r="BD5" s="13" vm="46">
        <f ca="1"/>
        <v>45783</v>
      </c>
      <c r="BE5" s="13" vm="47">
        <f ca="1"/>
        <v>45784</v>
      </c>
      <c r="BF5" s="13" vm="48">
        <f ca="1"/>
        <v>45785</v>
      </c>
      <c r="BG5" s="13" vm="49">
        <f ca="1"/>
        <v>45786</v>
      </c>
      <c r="BH5" s="13" vm="50">
        <f ca="1"/>
        <v>45789</v>
      </c>
      <c r="BI5" s="13" vm="51">
        <f ca="1"/>
        <v>45790</v>
      </c>
      <c r="BJ5" s="13" vm="52">
        <f ca="1"/>
        <v>45791</v>
      </c>
      <c r="BK5" s="13" vm="53">
        <f ca="1"/>
        <v>45792</v>
      </c>
      <c r="BL5" s="13" vm="54">
        <f ca="1"/>
        <v>45793</v>
      </c>
      <c r="BM5" s="13" vm="55">
        <f ca="1"/>
        <v>45796</v>
      </c>
      <c r="BN5" s="13" vm="56">
        <f ca="1"/>
        <v>45797</v>
      </c>
      <c r="BO5" s="13" vm="57">
        <f ca="1"/>
        <v>45798</v>
      </c>
      <c r="BP5" s="13" vm="58">
        <f ca="1"/>
        <v>45799</v>
      </c>
      <c r="BQ5" s="13" vm="59">
        <f ca="1"/>
        <v>45800</v>
      </c>
      <c r="BR5" s="13" vm="60">
        <f ca="1"/>
        <v>45803</v>
      </c>
      <c r="BS5" s="13" vm="61">
        <f ca="1"/>
        <v>45804</v>
      </c>
      <c r="BT5" s="13" vm="62">
        <f ca="1"/>
        <v>45805</v>
      </c>
      <c r="BU5" s="13" vm="63">
        <f ca="1"/>
        <v>45806</v>
      </c>
      <c r="BV5" s="13" vm="64">
        <f ca="1"/>
        <v>45807</v>
      </c>
      <c r="BW5" s="13" vm="65">
        <f ca="1"/>
        <v>45810</v>
      </c>
      <c r="BX5" s="13" vm="66">
        <f ca="1"/>
        <v>45811</v>
      </c>
      <c r="BY5" s="13" vm="67">
        <f ca="1"/>
        <v>45812</v>
      </c>
      <c r="BZ5" s="13" vm="68">
        <f ca="1"/>
        <v>45813</v>
      </c>
      <c r="CA5" s="13" vm="69">
        <f ca="1"/>
        <v>45814</v>
      </c>
      <c r="CB5" s="13" vm="70">
        <f ca="1"/>
        <v>45817</v>
      </c>
      <c r="CC5" s="13" vm="71">
        <f ca="1"/>
        <v>45818</v>
      </c>
      <c r="CD5" s="13" vm="72">
        <f ca="1"/>
        <v>45819</v>
      </c>
      <c r="CE5" s="13" vm="73">
        <f ca="1"/>
        <v>45820</v>
      </c>
      <c r="CF5" s="13" vm="74">
        <f ca="1"/>
        <v>45821</v>
      </c>
      <c r="CG5" s="13" vm="75">
        <f ca="1"/>
        <v>45824</v>
      </c>
      <c r="CH5" s="13" vm="76">
        <f ca="1"/>
        <v>45825</v>
      </c>
      <c r="CI5" s="13" vm="77">
        <f ca="1"/>
        <v>45826</v>
      </c>
      <c r="CJ5" s="13" vm="78">
        <f ca="1"/>
        <v>45827</v>
      </c>
      <c r="CK5" s="13" vm="79">
        <f ca="1"/>
        <v>45828</v>
      </c>
      <c r="CL5" s="13" vm="80">
        <f ca="1"/>
        <v>45831</v>
      </c>
      <c r="CM5" s="13" vm="81">
        <f ca="1"/>
        <v>45832</v>
      </c>
      <c r="CN5" s="13" vm="82">
        <f ca="1"/>
        <v>45833</v>
      </c>
      <c r="CO5" s="13" vm="83">
        <f ca="1"/>
        <v>45834</v>
      </c>
      <c r="CP5" s="13" vm="84">
        <f ca="1"/>
        <v>45835</v>
      </c>
      <c r="CQ5" s="13" vm="85">
        <f ca="1"/>
        <v>45838</v>
      </c>
      <c r="CR5" s="13" vm="86">
        <f ca="1"/>
        <v>45839</v>
      </c>
      <c r="CS5" s="13" vm="87">
        <f ca="1"/>
        <v>45840</v>
      </c>
      <c r="CT5" s="13" vm="88">
        <f ca="1"/>
        <v>45841</v>
      </c>
      <c r="CU5" s="13" vm="89">
        <f ca="1"/>
        <v>45842</v>
      </c>
      <c r="CV5" s="13" vm="90">
        <f ca="1"/>
        <v>45845</v>
      </c>
      <c r="CW5" s="13" vm="91">
        <f ca="1"/>
        <v>45846</v>
      </c>
      <c r="CX5" s="13" vm="92">
        <f ca="1"/>
        <v>45847</v>
      </c>
      <c r="CY5" s="13" vm="93">
        <f ca="1"/>
        <v>45848</v>
      </c>
      <c r="CZ5" s="13" vm="94">
        <f ca="1"/>
        <v>45849</v>
      </c>
      <c r="DA5" s="13" vm="95">
        <f ca="1"/>
        <v>45852</v>
      </c>
      <c r="DB5" s="13" vm="96">
        <f ca="1"/>
        <v>45853</v>
      </c>
      <c r="DC5" s="13" vm="97">
        <f ca="1"/>
        <v>45854</v>
      </c>
      <c r="DD5" s="13" vm="98">
        <f ca="1"/>
        <v>45855</v>
      </c>
      <c r="DE5" s="13" vm="99">
        <f ca="1"/>
        <v>45856</v>
      </c>
      <c r="DF5" s="13" vm="100">
        <f ca="1"/>
        <v>45859</v>
      </c>
      <c r="DG5" s="13" vm="101">
        <f ca="1"/>
        <v>45860</v>
      </c>
      <c r="DH5" s="13" vm="102">
        <f ca="1"/>
        <v>45861</v>
      </c>
      <c r="DI5" s="13" vm="103">
        <f ca="1"/>
        <v>45862</v>
      </c>
      <c r="DJ5" s="13" vm="104">
        <f ca="1"/>
        <v>45863</v>
      </c>
      <c r="DK5" s="13" vm="105">
        <f ca="1"/>
        <v>45866</v>
      </c>
      <c r="DL5" s="13" vm="106">
        <f ca="1"/>
        <v>45867</v>
      </c>
      <c r="DM5" s="13" vm="107">
        <f ca="1"/>
        <v>45868</v>
      </c>
      <c r="DN5" s="13" vm="108">
        <f ca="1"/>
        <v>45869</v>
      </c>
      <c r="DO5" s="13" vm="109">
        <f ca="1"/>
        <v>45870</v>
      </c>
      <c r="DP5" s="13" vm="110">
        <f ca="1"/>
        <v>45873</v>
      </c>
      <c r="DQ5" s="13" vm="111">
        <f ca="1"/>
        <v>45874</v>
      </c>
      <c r="DR5" s="13" vm="112">
        <f ca="1"/>
        <v>45875</v>
      </c>
      <c r="DS5" s="13" vm="113">
        <f ca="1"/>
        <v>45876</v>
      </c>
      <c r="DT5" s="13" vm="114">
        <f ca="1"/>
        <v>45877</v>
      </c>
      <c r="DU5" s="13" vm="115">
        <f ca="1"/>
        <v>45880</v>
      </c>
      <c r="DV5" s="13" vm="116">
        <f ca="1"/>
        <v>45881</v>
      </c>
      <c r="DW5" s="13" vm="117">
        <f ca="1"/>
        <v>45882</v>
      </c>
      <c r="DX5" s="13" vm="118">
        <f ca="1"/>
        <v>45883</v>
      </c>
      <c r="DY5" s="13" vm="119">
        <f ca="1"/>
        <v>45887</v>
      </c>
      <c r="DZ5" s="13" vm="120">
        <f ca="1"/>
        <v>45888</v>
      </c>
      <c r="EA5" s="13" vm="121">
        <f ca="1"/>
        <v>45889</v>
      </c>
      <c r="EB5" s="13" vm="122">
        <f ca="1"/>
        <v>45890</v>
      </c>
      <c r="EC5" s="13" vm="123">
        <f ca="1"/>
        <v>45891</v>
      </c>
      <c r="ED5" s="13" vm="124">
        <f ca="1"/>
        <v>45894</v>
      </c>
      <c r="EE5" s="13" vm="125">
        <f ca="1"/>
        <v>45895</v>
      </c>
      <c r="EF5" s="13" vm="126">
        <f ca="1"/>
        <v>45897</v>
      </c>
      <c r="EG5" s="13" vm="127">
        <f ca="1"/>
        <v>45898</v>
      </c>
      <c r="EH5" s="13" vm="128">
        <f ca="1"/>
        <v>45901</v>
      </c>
      <c r="EI5" s="13" vm="129">
        <f ca="1"/>
        <v>45902</v>
      </c>
      <c r="EJ5" s="13" vm="130">
        <f ca="1"/>
        <v>45903</v>
      </c>
      <c r="EK5" s="13" vm="131">
        <f ca="1"/>
        <v>45904</v>
      </c>
      <c r="EL5" s="13" vm="132">
        <f ca="1"/>
        <v>45905</v>
      </c>
      <c r="EM5" s="13" vm="133">
        <f ca="1"/>
        <v>45908</v>
      </c>
      <c r="EN5" s="13" vm="134">
        <f ca="1"/>
        <v>45909</v>
      </c>
      <c r="EO5" s="13" vm="135">
        <f ca="1"/>
        <v>45910</v>
      </c>
      <c r="EP5" s="13" vm="136">
        <f ca="1"/>
        <v>45911</v>
      </c>
      <c r="EQ5" s="13" vm="137">
        <f ca="1"/>
        <v>45912</v>
      </c>
      <c r="ER5" s="13" vm="138">
        <f ca="1"/>
        <v>45915</v>
      </c>
      <c r="ES5" s="13" vm="139">
        <f ca="1"/>
        <v>45916</v>
      </c>
      <c r="ET5" s="13" vm="140">
        <f ca="1"/>
        <v>45917</v>
      </c>
      <c r="EU5" s="13" vm="141">
        <f ca="1"/>
        <v>45918</v>
      </c>
      <c r="EV5" s="13" vm="142">
        <f ca="1"/>
        <v>45919</v>
      </c>
      <c r="EW5" s="13" vm="143">
        <f ca="1"/>
        <v>45922</v>
      </c>
      <c r="EX5" s="13" vm="144">
        <f ca="1"/>
        <v>45923</v>
      </c>
      <c r="EY5" s="13" vm="145">
        <f ca="1"/>
        <v>45924</v>
      </c>
      <c r="EZ5" s="13" vm="146">
        <f ca="1"/>
        <v>45925</v>
      </c>
      <c r="FA5" s="13" vm="147">
        <f ca="1"/>
        <v>45926</v>
      </c>
      <c r="FB5" s="13" vm="148">
        <f ca="1"/>
        <v>45929</v>
      </c>
      <c r="FC5" s="13" vm="149">
        <f ca="1"/>
        <v>45930</v>
      </c>
      <c r="FD5" s="13" vm="150">
        <f ca="1"/>
        <v>45931</v>
      </c>
      <c r="FE5" s="13" vm="151">
        <f ca="1"/>
        <v>45933</v>
      </c>
      <c r="FF5" s="13" vm="152">
        <f ca="1"/>
        <v>45936</v>
      </c>
      <c r="FG5" s="13" vm="153">
        <f ca="1"/>
        <v>45937</v>
      </c>
      <c r="FH5" s="13" vm="154">
        <f ca="1"/>
        <v>45938</v>
      </c>
      <c r="FI5" s="13" vm="155">
        <f ca="1"/>
        <v>45939</v>
      </c>
      <c r="FJ5" s="13" vm="156">
        <f ca="1"/>
        <v>45940</v>
      </c>
      <c r="FK5" s="13" vm="157">
        <f ca="1"/>
        <v>45943</v>
      </c>
      <c r="FL5" s="13" vm="158">
        <f ca="1"/>
        <v>45944</v>
      </c>
      <c r="FM5" s="13" vm="159">
        <f ca="1"/>
        <v>45945</v>
      </c>
      <c r="FN5" s="13" vm="160">
        <f ca="1"/>
        <v>45946</v>
      </c>
      <c r="FO5" s="13" vm="161">
        <f ca="1"/>
        <v>45947</v>
      </c>
      <c r="FP5" s="13" vm="162">
        <f ca="1"/>
        <v>45950</v>
      </c>
      <c r="FQ5" s="13" vm="163">
        <f ca="1"/>
        <v>45951</v>
      </c>
      <c r="FR5" s="13" vm="164">
        <f ca="1"/>
        <v>45953</v>
      </c>
      <c r="FS5" s="13" vm="165">
        <f ca="1"/>
        <v>45954</v>
      </c>
      <c r="FT5" s="13" vm="166">
        <f ca="1"/>
        <v>45957</v>
      </c>
      <c r="FU5" s="13" vm="167">
        <f ca="1"/>
        <v>45958</v>
      </c>
      <c r="FV5" s="13" vm="168">
        <f ca="1"/>
        <v>45959</v>
      </c>
      <c r="FW5" s="13" vm="169">
        <f ca="1"/>
        <v>45960</v>
      </c>
      <c r="FX5" s="13" vm="170">
        <f ca="1"/>
        <v>45961</v>
      </c>
      <c r="FY5" s="13" vm="171">
        <f ca="1"/>
        <v>45964</v>
      </c>
      <c r="FZ5" s="13" vm="172">
        <f ca="1"/>
        <v>45965</v>
      </c>
      <c r="GA5" s="13" vm="173">
        <f ca="1"/>
        <v>45967</v>
      </c>
      <c r="GB5" s="13" vm="174">
        <f ca="1"/>
        <v>45968</v>
      </c>
      <c r="GC5" s="13" vm="175">
        <f ca="1"/>
        <v>45971</v>
      </c>
      <c r="GD5" s="13" vm="176">
        <f ca="1"/>
        <v>45972</v>
      </c>
      <c r="GE5" s="13" vm="177">
        <f ca="1"/>
        <v>45973</v>
      </c>
      <c r="GF5" s="13" vm="178">
        <f ca="1"/>
        <v>45974</v>
      </c>
      <c r="GG5" s="13" vm="179">
        <f ca="1"/>
        <v>45975</v>
      </c>
      <c r="GH5" s="13" vm="180">
        <f ca="1"/>
        <v>45978</v>
      </c>
      <c r="GI5" s="13" vm="181">
        <f ca="1"/>
        <v>45979</v>
      </c>
      <c r="GJ5" s="13" vm="182">
        <f ca="1"/>
        <v>45980</v>
      </c>
      <c r="GK5" s="13" vm="183">
        <f ca="1"/>
        <v>45981</v>
      </c>
      <c r="GL5" s="13" vm="184">
        <f ca="1"/>
        <v>45982</v>
      </c>
      <c r="GM5" s="13" vm="185">
        <f ca="1"/>
        <v>45985</v>
      </c>
      <c r="GN5" s="13" vm="186">
        <f ca="1"/>
        <v>45986</v>
      </c>
      <c r="GO5" s="13" vm="187">
        <f ca="1"/>
        <v>45987</v>
      </c>
      <c r="GP5" s="13" vm="188">
        <f ca="1"/>
        <v>45988</v>
      </c>
      <c r="GQ5" s="13" vm="189">
        <f ca="1"/>
        <v>45989</v>
      </c>
      <c r="GR5" s="13" vm="190">
        <f ca="1"/>
        <v>45992</v>
      </c>
      <c r="GS5" s="13" vm="191">
        <f ca="1"/>
        <v>45993</v>
      </c>
      <c r="GT5" s="13" vm="192">
        <f ca="1"/>
        <v>45994</v>
      </c>
      <c r="GU5" s="13" vm="193">
        <f ca="1"/>
        <v>45995</v>
      </c>
      <c r="GV5" s="13" vm="194">
        <f ca="1"/>
        <v>45996</v>
      </c>
      <c r="GW5" s="13" vm="195">
        <f ca="1"/>
        <v>45999</v>
      </c>
      <c r="GX5" s="13" vm="196">
        <f ca="1"/>
        <v>46000</v>
      </c>
      <c r="GY5" s="13" vm="197">
        <f ca="1"/>
        <v>46001</v>
      </c>
      <c r="GZ5" s="13" vm="198">
        <f ca="1"/>
        <v>46002</v>
      </c>
      <c r="HA5" s="13" vm="199">
        <f ca="1"/>
        <v>46003</v>
      </c>
      <c r="HB5" s="13" vm="200">
        <f ca="1"/>
        <v>46006</v>
      </c>
      <c r="HC5" s="13" vm="201">
        <f ca="1"/>
        <v>46007</v>
      </c>
      <c r="HD5" s="13" vm="202">
        <f ca="1"/>
        <v>46008</v>
      </c>
      <c r="HE5" s="13" vm="203">
        <f ca="1"/>
        <v>46009</v>
      </c>
      <c r="HF5" s="13" vm="204">
        <f ca="1"/>
        <v>46010</v>
      </c>
      <c r="HG5" s="13" vm="205">
        <f ca="1"/>
        <v>46013</v>
      </c>
      <c r="HH5" s="13" vm="206">
        <f ca="1"/>
        <v>46014</v>
      </c>
      <c r="HI5" s="13" vm="207">
        <f ca="1"/>
        <v>46015</v>
      </c>
      <c r="HJ5" s="13" vm="208">
        <f ca="1"/>
        <v>46017</v>
      </c>
      <c r="HK5" s="13" vm="209">
        <f ca="1"/>
        <v>46020</v>
      </c>
      <c r="HL5" s="13" vm="210">
        <f ca="1"/>
        <v>46021</v>
      </c>
      <c r="HM5" s="13" vm="211">
        <f ca="1"/>
        <v>46022</v>
      </c>
      <c r="HN5" s="13" vm="212">
        <f ca="1"/>
        <v>46023</v>
      </c>
      <c r="HO5" s="13" vm="213">
        <f ca="1"/>
        <v>46024</v>
      </c>
      <c r="HP5" s="13" vm="214">
        <f ca="1"/>
        <v>46027</v>
      </c>
      <c r="HQ5" s="13" vm="215">
        <f ca="1"/>
        <v>46028</v>
      </c>
      <c r="HR5" s="13" vm="216">
        <f ca="1"/>
        <v>46029</v>
      </c>
      <c r="HS5" s="13" vm="217">
        <f ca="1"/>
        <v>46030</v>
      </c>
      <c r="HT5" s="13" vm="218">
        <f ca="1"/>
        <v>46031</v>
      </c>
      <c r="HU5" s="13" vm="219">
        <f ca="1"/>
        <v>46034</v>
      </c>
      <c r="HV5" s="13" vm="220">
        <f ca="1"/>
        <v>46035</v>
      </c>
      <c r="HW5" s="13" vm="221">
        <f ca="1"/>
        <v>46036</v>
      </c>
      <c r="HX5" s="13" vm="222">
        <f ca="1"/>
        <v>46038</v>
      </c>
      <c r="HY5" s="13" vm="223">
        <f ca="1"/>
        <v>46041</v>
      </c>
      <c r="HZ5" s="13" vm="224">
        <f ca="1"/>
        <v>46042</v>
      </c>
      <c r="IA5" s="13" vm="225">
        <f ca="1"/>
        <v>46043</v>
      </c>
      <c r="IB5" s="13" vm="226">
        <f ca="1"/>
        <v>46044</v>
      </c>
      <c r="IC5" s="13" vm="227">
        <f ca="1"/>
        <v>46045</v>
      </c>
      <c r="ID5" s="13" vm="228">
        <f ca="1"/>
        <v>46049</v>
      </c>
      <c r="IE5" s="13" vm="229">
        <f ca="1"/>
        <v>46050</v>
      </c>
      <c r="IF5" s="13" vm="230">
        <f ca="1"/>
        <v>46051</v>
      </c>
      <c r="IG5" s="13" vm="231">
        <f ca="1"/>
        <v>46052</v>
      </c>
      <c r="IH5" s="13" vm="232">
        <f ca="1"/>
        <v>46054</v>
      </c>
      <c r="II5" s="13" vm="233">
        <f ca="1"/>
        <v>46055</v>
      </c>
      <c r="IJ5" s="13" vm="234">
        <f ca="1"/>
        <v>46056</v>
      </c>
      <c r="IK5" s="13" vm="235">
        <f ca="1"/>
        <v>46057</v>
      </c>
      <c r="IL5" s="13" vm="236">
        <f ca="1"/>
        <v>46058</v>
      </c>
      <c r="IM5" s="13" vm="237">
        <f ca="1"/>
        <v>46059</v>
      </c>
      <c r="IN5" s="13" vm="238">
        <f ca="1"/>
        <v>46062</v>
      </c>
      <c r="IO5" s="13" vm="239">
        <f ca="1"/>
        <v>46063</v>
      </c>
      <c r="IP5" s="13" vm="240">
        <f ca="1"/>
        <v>46064</v>
      </c>
      <c r="IQ5" s="13" vm="241">
        <f ca="1"/>
        <v>46065</v>
      </c>
      <c r="IR5" s="13" vm="242">
        <f ca="1"/>
        <v>46066</v>
      </c>
      <c r="IS5" s="13" vm="243">
        <f ca="1"/>
        <v>46069</v>
      </c>
      <c r="IT5" s="13" vm="244">
        <f ca="1"/>
        <v>46070</v>
      </c>
      <c r="IU5" s="13" vm="245">
        <f ca="1"/>
        <v>46071</v>
      </c>
      <c r="IV5" s="13" vm="246">
        <f ca="1"/>
        <v>46072</v>
      </c>
      <c r="IW5" s="13" vm="247">
        <f ca="1"/>
        <v>46073</v>
      </c>
    </row>
    <row r="6" spans="2:257" x14ac:dyDescent="0.4">
      <c r="B6" s="13" t="e" cm="1" vm="248">
        <f t="array" ref="B6:B13">_xlfn.UNIQUE(_xlfn._xlws.FILTER(Ledger[Stock],SUMIF(Ledger[Stock],Ledger[Stock],Ledger[Units])&lt;&gt;0))</f>
        <v>#VALUE!</v>
      </c>
      <c r="C6" s="13" t="str" cm="1">
        <f t="array" aca="1" ref="C6:C13" ca="1">_FV(_xlfn.ANCHORARRAY(B6),"Industry")</f>
        <v>Oil &amp; Gas</v>
      </c>
      <c r="D6" s="13" cm="1">
        <f t="array" ref="D6:D13">SUMIF(Ledger[Stock],_xlfn.ANCHORARRAY(B6),Ledger[Units])</f>
        <v>23</v>
      </c>
      <c r="E6" s="23" cm="1">
        <f t="array" aca="1" ref="E6:E13" ca="1">_FV(_xlfn.ANCHORARRAY(B6),"Price")</f>
        <v>1420.05</v>
      </c>
      <c r="F6" s="23" cm="1">
        <f t="array" aca="1" ref="F6:F13" ca="1">_xlfn.ANCHORARRAY(D6)*_xlfn.ANCHORARRAY(E6)</f>
        <v>32661.149999999998</v>
      </c>
      <c r="G6" s="23" cm="1">
        <f t="array" aca="1" ref="G6:G13" ca="1">(_xlfn.ANCHORARRAY(E6)-_FV(_xlfn.ANCHORARRAY(B6),"Previous close",TRUE))*_xlfn.ANCHORARRAY(D6)</f>
        <v>212.75</v>
      </c>
      <c r="H6" s="24" cm="1">
        <f t="array" aca="1" ref="H6:H13" ca="1">_xlfn.ANCHORARRAY(G6)/(_xlfn.ANCHORARRAY(F6)-_xlfn.ANCHORARRAY(G6))</f>
        <v>6.5565636518287503E-3</v>
      </c>
      <c r="I6" s="23" cm="1">
        <f t="array" aca="1" ref="I6:I13" ca="1">-SUMIF(Ledger[Stock],_xlfn.ANCHORARRAY(B6),Ledger[Transaction Amount])+_xlfn.ANCHORARRAY(F6)</f>
        <v>-918.85000000000218</v>
      </c>
      <c r="L6" s="13" vm="249">
        <f ca="1"/>
        <v>1214.75</v>
      </c>
      <c r="M6" s="13" vm="250">
        <f ca="1"/>
        <v>1203.9000000000001</v>
      </c>
      <c r="N6" s="13" vm="251">
        <f ca="1"/>
        <v>1207.05</v>
      </c>
      <c r="O6" s="13" vm="252">
        <f ca="1"/>
        <v>1199.5999999999999</v>
      </c>
      <c r="P6" s="13" vm="253">
        <f ca="1"/>
        <v>1171.0999999999999</v>
      </c>
      <c r="Q6" s="13" vm="254">
        <f ca="1"/>
        <v>1161.7</v>
      </c>
      <c r="R6" s="13" vm="255">
        <f ca="1"/>
        <v>1175.75</v>
      </c>
      <c r="S6" s="13" vm="256">
        <f ca="1"/>
        <v>1210.55</v>
      </c>
      <c r="T6" s="13" vm="257">
        <f ca="1"/>
        <v>1249.0999999999999</v>
      </c>
      <c r="U6" s="13" vm="258">
        <f ca="1"/>
        <v>1238.2</v>
      </c>
      <c r="V6" s="13" vm="259">
        <f ca="1"/>
        <v>1247.4000000000001</v>
      </c>
      <c r="W6" s="13" vm="260">
        <f ca="1"/>
        <v>1256.5999999999999</v>
      </c>
      <c r="X6" s="13" vm="259">
        <f ca="1"/>
        <v>1247.4000000000001</v>
      </c>
      <c r="Y6" s="13" vm="261">
        <f ca="1"/>
        <v>1240.4000000000001</v>
      </c>
      <c r="Z6" s="13" vm="262">
        <f ca="1"/>
        <v>1238.8</v>
      </c>
      <c r="AA6" s="13" vm="263">
        <f ca="1"/>
        <v>1247.7</v>
      </c>
      <c r="AB6" s="13" vm="264">
        <f ca="1"/>
        <v>1268.55</v>
      </c>
      <c r="AC6" s="13" vm="265">
        <f ca="1"/>
        <v>1276.45</v>
      </c>
      <c r="AD6" s="13" vm="266">
        <f ca="1"/>
        <v>1301.3499999999999</v>
      </c>
      <c r="AE6" s="13" vm="267">
        <f ca="1"/>
        <v>1285.4000000000001</v>
      </c>
      <c r="AF6" s="13" vm="268">
        <f ca="1"/>
        <v>1272.55</v>
      </c>
      <c r="AG6" s="13" vm="269">
        <f ca="1"/>
        <v>1278.4000000000001</v>
      </c>
      <c r="AH6" s="13" vm="270">
        <f ca="1"/>
        <v>1275</v>
      </c>
      <c r="AI6" s="13" vm="271">
        <f ca="1"/>
        <v>1252.45</v>
      </c>
      <c r="AJ6" s="13" vm="272">
        <f ca="1"/>
        <v>1251.0999999999999</v>
      </c>
      <c r="AK6" s="13" vm="273">
        <f ca="1"/>
        <v>1248.5999999999999</v>
      </c>
      <c r="AL6" s="13" vm="274">
        <f ca="1"/>
        <v>1204.7</v>
      </c>
      <c r="AM6" s="13" vm="275">
        <f ca="1"/>
        <v>1166.2</v>
      </c>
      <c r="AN6" s="13" vm="276">
        <f ca="1"/>
        <v>1182.4000000000001</v>
      </c>
      <c r="AO6" s="13" vm="277">
        <f ca="1"/>
        <v>1185.5999999999999</v>
      </c>
      <c r="AP6" s="13" vm="278">
        <f ca="1"/>
        <v>1219.3</v>
      </c>
      <c r="AQ6" s="13" vm="279">
        <f ca="1"/>
        <v>1239.9000000000001</v>
      </c>
      <c r="AR6" s="13" vm="280">
        <f ca="1"/>
        <v>1238.6500000000001</v>
      </c>
      <c r="AS6" s="13" vm="281">
        <f ca="1"/>
        <v>1274.55</v>
      </c>
      <c r="AT6" s="13" vm="282">
        <f ca="1"/>
        <v>1295.8499999999999</v>
      </c>
      <c r="AU6" s="13" vm="283">
        <f ca="1"/>
        <v>1290.95</v>
      </c>
      <c r="AV6" s="13" vm="284">
        <f ca="1"/>
        <v>1299.9000000000001</v>
      </c>
      <c r="AW6" s="13" vm="285">
        <f ca="1"/>
        <v>1301.6500000000001</v>
      </c>
      <c r="AX6" s="13" vm="286">
        <f ca="1"/>
        <v>1300.05</v>
      </c>
      <c r="AY6" s="13" vm="287">
        <f ca="1"/>
        <v>1368.5</v>
      </c>
      <c r="AZ6" s="13" vm="288">
        <f ca="1"/>
        <v>1400.3</v>
      </c>
      <c r="BA6" s="13" vm="289">
        <f ca="1"/>
        <v>1408.35</v>
      </c>
      <c r="BB6" s="13" vm="290">
        <f ca="1"/>
        <v>1421.95</v>
      </c>
      <c r="BC6" s="13" vm="291">
        <f ca="1"/>
        <v>1431.1</v>
      </c>
      <c r="BD6" s="13" vm="292">
        <f ca="1"/>
        <v>1420.55</v>
      </c>
      <c r="BE6" s="13" vm="293">
        <f ca="1"/>
        <v>1406</v>
      </c>
      <c r="BF6" s="13" vm="294">
        <f ca="1"/>
        <v>1404.85</v>
      </c>
      <c r="BG6" s="13" vm="295">
        <f ca="1"/>
        <v>1377.75</v>
      </c>
      <c r="BH6" s="13" vm="296">
        <f ca="1"/>
        <v>1436.55</v>
      </c>
      <c r="BI6" s="13" vm="297">
        <f ca="1"/>
        <v>1416.2</v>
      </c>
      <c r="BJ6" s="13" vm="298">
        <f ca="1"/>
        <v>1424.25</v>
      </c>
      <c r="BK6" s="13" vm="299">
        <f ca="1"/>
        <v>1453.8</v>
      </c>
      <c r="BL6" s="13" vm="300">
        <f ca="1"/>
        <v>1456.6</v>
      </c>
      <c r="BM6" s="13" vm="301">
        <f ca="1"/>
        <v>1441.65</v>
      </c>
      <c r="BN6" s="13" vm="302">
        <f ca="1"/>
        <v>1425.3</v>
      </c>
      <c r="BO6" s="13" vm="303">
        <f ca="1"/>
        <v>1428.9</v>
      </c>
      <c r="BP6" s="13" vm="304">
        <f ca="1"/>
        <v>1409.4</v>
      </c>
      <c r="BQ6" s="13" vm="305">
        <f ca="1"/>
        <v>1426.45</v>
      </c>
      <c r="BR6" s="13" vm="306">
        <f ca="1"/>
        <v>1434.15</v>
      </c>
      <c r="BS6" s="13" vm="307">
        <f ca="1"/>
        <v>1421.75</v>
      </c>
      <c r="BT6" s="13" vm="308">
        <f ca="1"/>
        <v>1411.15</v>
      </c>
      <c r="BU6" s="13" vm="309">
        <f ca="1"/>
        <v>1417.4</v>
      </c>
      <c r="BV6" s="13" vm="310">
        <f ca="1"/>
        <v>1420.8</v>
      </c>
      <c r="BW6" s="13" vm="311">
        <f ca="1"/>
        <v>1414.45</v>
      </c>
      <c r="BX6" s="13" vm="312">
        <f ca="1"/>
        <v>1405.95</v>
      </c>
      <c r="BY6" s="13" vm="313">
        <f ca="1"/>
        <v>1423.2</v>
      </c>
      <c r="BZ6" s="13" vm="314">
        <f ca="1"/>
        <v>1442.65</v>
      </c>
      <c r="CA6" s="13" vm="315">
        <f ca="1"/>
        <v>1443.55</v>
      </c>
      <c r="CB6" s="13" vm="316">
        <f ca="1"/>
        <v>1448.6</v>
      </c>
      <c r="CC6" s="13" vm="317">
        <f ca="1"/>
        <v>1438.6</v>
      </c>
      <c r="CD6" s="13" vm="318">
        <f ca="1"/>
        <v>1448.75</v>
      </c>
      <c r="CE6" s="13" vm="319">
        <f ca="1"/>
        <v>1439.6</v>
      </c>
      <c r="CF6" s="13" vm="320">
        <f ca="1"/>
        <v>1427.65</v>
      </c>
      <c r="CG6" s="13" vm="321">
        <f ca="1"/>
        <v>1438.55</v>
      </c>
      <c r="CH6" s="13" vm="322">
        <f ca="1"/>
        <v>1431.3</v>
      </c>
      <c r="CI6" s="13" vm="323">
        <f ca="1"/>
        <v>1429.85</v>
      </c>
      <c r="CJ6" s="13" vm="324">
        <f ca="1"/>
        <v>1433.65</v>
      </c>
      <c r="CK6" s="13" vm="325">
        <f ca="1"/>
        <v>1464.65</v>
      </c>
      <c r="CL6" s="13" vm="326">
        <f ca="1"/>
        <v>1456.35</v>
      </c>
      <c r="CM6" s="13" vm="327">
        <f ca="1"/>
        <v>1450.05</v>
      </c>
      <c r="CN6" s="13" vm="328">
        <f ca="1"/>
        <v>1467.25</v>
      </c>
      <c r="CO6" s="13" vm="329">
        <f ca="1"/>
        <v>1495.2</v>
      </c>
      <c r="CP6" s="13" vm="330">
        <f ca="1"/>
        <v>1516.05</v>
      </c>
      <c r="CQ6" s="13" vm="331">
        <f ca="1"/>
        <v>1500.65</v>
      </c>
      <c r="CR6" s="13" vm="332">
        <f ca="1"/>
        <v>1528.3</v>
      </c>
      <c r="CS6" s="13" vm="333">
        <f ca="1"/>
        <v>1518.25</v>
      </c>
      <c r="CT6" s="13" vm="334">
        <f ca="1"/>
        <v>1518.95</v>
      </c>
      <c r="CU6" s="13" vm="335">
        <f ca="1"/>
        <v>1527.4</v>
      </c>
      <c r="CV6" s="13" vm="336">
        <f ca="1"/>
        <v>1541.2</v>
      </c>
      <c r="CW6" s="13" vm="337">
        <f ca="1"/>
        <v>1538.8</v>
      </c>
      <c r="CX6" s="13" vm="338">
        <f ca="1"/>
        <v>1519.05</v>
      </c>
      <c r="CY6" s="13" vm="339">
        <f ca="1"/>
        <v>1517.2</v>
      </c>
      <c r="CZ6" s="13" vm="340">
        <f ca="1"/>
        <v>1494.85</v>
      </c>
      <c r="DA6" s="13" vm="341">
        <f ca="1"/>
        <v>1484.6</v>
      </c>
      <c r="DB6" s="13" vm="342">
        <f ca="1"/>
        <v>1484.9</v>
      </c>
      <c r="DC6" s="13" vm="343">
        <f ca="1"/>
        <v>1485.75</v>
      </c>
      <c r="DD6" s="13" vm="344">
        <f ca="1"/>
        <v>1477.1</v>
      </c>
      <c r="DE6" s="13" vm="345">
        <f ca="1"/>
        <v>1476.85</v>
      </c>
      <c r="DF6" s="13" vm="346">
        <f ca="1"/>
        <v>1428.2</v>
      </c>
      <c r="DG6" s="13" vm="347">
        <f ca="1"/>
        <v>1412.8</v>
      </c>
      <c r="DH6" s="13" vm="348">
        <f ca="1"/>
        <v>1424.5</v>
      </c>
      <c r="DI6" s="13" vm="349">
        <f ca="1"/>
        <v>1402.65</v>
      </c>
      <c r="DJ6" s="13" vm="350">
        <f ca="1"/>
        <v>1392.1</v>
      </c>
      <c r="DK6" s="13" vm="351">
        <f ca="1"/>
        <v>1387.3</v>
      </c>
      <c r="DL6" s="13" vm="352">
        <f ca="1"/>
        <v>1417.95</v>
      </c>
      <c r="DM6" s="13" vm="353">
        <f ca="1"/>
        <v>1409.9</v>
      </c>
      <c r="DN6" s="13" vm="354">
        <f ca="1"/>
        <v>1390.3</v>
      </c>
      <c r="DO6" s="13" vm="355">
        <f ca="1"/>
        <v>1393.6</v>
      </c>
      <c r="DP6" s="13" vm="356">
        <f ca="1"/>
        <v>1411.3</v>
      </c>
      <c r="DQ6" s="13" vm="357">
        <f ca="1"/>
        <v>1391.6</v>
      </c>
      <c r="DR6" s="13" vm="358">
        <f ca="1"/>
        <v>1392.95</v>
      </c>
      <c r="DS6" s="13" vm="359">
        <f ca="1"/>
        <v>1390.85</v>
      </c>
      <c r="DT6" s="13" vm="360">
        <f ca="1"/>
        <v>1367.95</v>
      </c>
      <c r="DU6" s="13" vm="361">
        <f ca="1"/>
        <v>1386.8</v>
      </c>
      <c r="DV6" s="13" vm="362">
        <f ca="1"/>
        <v>1380.4</v>
      </c>
      <c r="DW6" s="13" vm="363">
        <f ca="1"/>
        <v>1382.65</v>
      </c>
      <c r="DX6" s="13" vm="364">
        <f ca="1"/>
        <v>1373.75</v>
      </c>
      <c r="DY6" s="13" vm="365">
        <f ca="1"/>
        <v>1380.95</v>
      </c>
      <c r="DZ6" s="13" vm="366">
        <f ca="1"/>
        <v>1419.95</v>
      </c>
      <c r="EA6" s="13" vm="367">
        <f ca="1"/>
        <v>1412.45</v>
      </c>
      <c r="EB6" s="13" vm="368">
        <f ca="1"/>
        <v>1424.65</v>
      </c>
      <c r="EC6" s="13" vm="369">
        <f ca="1"/>
        <v>1409.3</v>
      </c>
      <c r="ED6" s="13" vm="370">
        <f ca="1"/>
        <v>1412.9</v>
      </c>
      <c r="EE6" s="13" vm="371">
        <f ca="1"/>
        <v>1385.3</v>
      </c>
      <c r="EF6" s="13" vm="372">
        <f ca="1"/>
        <v>1387.65</v>
      </c>
      <c r="EG6" s="13" vm="373">
        <f ca="1"/>
        <v>1357.05</v>
      </c>
      <c r="EH6" s="13" vm="374">
        <f ca="1"/>
        <v>1353.85</v>
      </c>
      <c r="EI6" s="13" vm="375">
        <f ca="1"/>
        <v>1366.3</v>
      </c>
      <c r="EJ6" s="13" vm="376">
        <f ca="1"/>
        <v>1371.55</v>
      </c>
      <c r="EK6" s="13" vm="377">
        <f ca="1"/>
        <v>1359.2</v>
      </c>
      <c r="EL6" s="13" vm="378">
        <f ca="1"/>
        <v>1374.3</v>
      </c>
      <c r="EM6" s="13" vm="379">
        <f ca="1"/>
        <v>1378.85</v>
      </c>
      <c r="EN6" s="13" vm="380">
        <f ca="1"/>
        <v>1376.35</v>
      </c>
      <c r="EO6" s="13" vm="381">
        <f ca="1"/>
        <v>1376.8</v>
      </c>
      <c r="EP6" s="13" vm="382">
        <f ca="1"/>
        <v>1383.5</v>
      </c>
      <c r="EQ6" s="13" vm="383">
        <f ca="1"/>
        <v>1394.8</v>
      </c>
      <c r="ER6" s="13" vm="384">
        <f ca="1"/>
        <v>1399.3</v>
      </c>
      <c r="ES6" s="13" vm="385">
        <f ca="1"/>
        <v>1405.15</v>
      </c>
      <c r="ET6" s="13" vm="386">
        <f ca="1"/>
        <v>1413.65</v>
      </c>
      <c r="EU6" s="13" vm="387">
        <f ca="1"/>
        <v>1414.55</v>
      </c>
      <c r="EV6" s="13" vm="388">
        <f ca="1"/>
        <v>1407.65</v>
      </c>
      <c r="EW6" s="13" vm="389">
        <f ca="1"/>
        <v>1390.4</v>
      </c>
      <c r="EX6" s="13" vm="390">
        <f ca="1"/>
        <v>1390.35</v>
      </c>
      <c r="EY6" s="13" vm="391">
        <f ca="1"/>
        <v>1383.75</v>
      </c>
      <c r="EZ6" s="13" vm="392">
        <f ca="1"/>
        <v>1372.45</v>
      </c>
      <c r="FA6" s="13" vm="295">
        <f ca="1"/>
        <v>1377.75</v>
      </c>
      <c r="FB6" s="13" vm="393">
        <f ca="1"/>
        <v>1374</v>
      </c>
      <c r="FC6" s="13" vm="394">
        <f ca="1"/>
        <v>1363.8</v>
      </c>
      <c r="FD6" s="13" vm="395">
        <f ca="1"/>
        <v>1368.8</v>
      </c>
      <c r="FE6" s="13" vm="396">
        <f ca="1"/>
        <v>1363.45</v>
      </c>
      <c r="FF6" s="13" vm="397">
        <f ca="1"/>
        <v>1375.1</v>
      </c>
      <c r="FG6" s="13" vm="398">
        <f ca="1"/>
        <v>1384.95</v>
      </c>
      <c r="FH6" s="13" vm="399">
        <f ca="1"/>
        <v>1367.35</v>
      </c>
      <c r="FI6" s="13" vm="400">
        <f ca="1"/>
        <v>1377.95</v>
      </c>
      <c r="FJ6" s="13" vm="401">
        <f ca="1"/>
        <v>1381.95</v>
      </c>
      <c r="FK6" s="13" vm="397">
        <f ca="1"/>
        <v>1375.1</v>
      </c>
      <c r="FL6" s="13" vm="402">
        <f ca="1"/>
        <v>1375.65</v>
      </c>
      <c r="FM6" s="13" vm="403">
        <f ca="1"/>
        <v>1374.75</v>
      </c>
      <c r="FN6" s="13" vm="404">
        <f ca="1"/>
        <v>1398.05</v>
      </c>
      <c r="FO6" s="13" vm="405">
        <f ca="1"/>
        <v>1416.95</v>
      </c>
      <c r="FP6" s="13" vm="406">
        <f ca="1"/>
        <v>1466.8</v>
      </c>
      <c r="FQ6" s="13" vm="407">
        <f ca="1"/>
        <v>1465.15</v>
      </c>
      <c r="FR6" s="13" vm="408">
        <f ca="1"/>
        <v>1448.05</v>
      </c>
      <c r="FS6" s="13" vm="409">
        <f ca="1"/>
        <v>1451.45</v>
      </c>
      <c r="FT6" s="13" vm="410">
        <f ca="1"/>
        <v>1484</v>
      </c>
      <c r="FU6" s="13" vm="411">
        <f ca="1"/>
        <v>1487.15</v>
      </c>
      <c r="FV6" s="13" vm="412">
        <f ca="1"/>
        <v>1504.05</v>
      </c>
      <c r="FW6" s="13" vm="413">
        <f ca="1"/>
        <v>1488.45</v>
      </c>
      <c r="FX6" s="13" vm="414">
        <f ca="1"/>
        <v>1486.5</v>
      </c>
      <c r="FY6" s="13" vm="415">
        <f ca="1"/>
        <v>1484.35</v>
      </c>
      <c r="FZ6" s="13" vm="416">
        <f ca="1"/>
        <v>1471.85</v>
      </c>
      <c r="GA6" s="13" vm="417">
        <f ca="1"/>
        <v>1495.75</v>
      </c>
      <c r="GB6" s="13" vm="418">
        <f ca="1"/>
        <v>1478.25</v>
      </c>
      <c r="GC6" s="13" vm="419">
        <f ca="1"/>
        <v>1489.25</v>
      </c>
      <c r="GD6" s="13" vm="420">
        <f ca="1"/>
        <v>1493.9</v>
      </c>
      <c r="GE6" s="13" vm="421">
        <f ca="1"/>
        <v>1511.75</v>
      </c>
      <c r="GF6" s="13" vm="422">
        <f ca="1"/>
        <v>1510.6</v>
      </c>
      <c r="GG6" s="13" vm="423">
        <f ca="1"/>
        <v>1518.85</v>
      </c>
      <c r="GH6" s="13" vm="424">
        <f ca="1"/>
        <v>1517.9</v>
      </c>
      <c r="GI6" s="13" vm="425">
        <f ca="1"/>
        <v>1519.65</v>
      </c>
      <c r="GJ6" s="13" vm="426">
        <f ca="1"/>
        <v>1518.65</v>
      </c>
      <c r="GK6" s="13" vm="427">
        <f ca="1"/>
        <v>1549.1</v>
      </c>
      <c r="GL6" s="13" vm="428">
        <f ca="1"/>
        <v>1545.95</v>
      </c>
      <c r="GM6" s="13" vm="429">
        <f ca="1"/>
        <v>1535.75</v>
      </c>
      <c r="GN6" s="13" vm="430">
        <f ca="1"/>
        <v>1539.1</v>
      </c>
      <c r="GO6" s="13" vm="431">
        <f ca="1"/>
        <v>1569.75</v>
      </c>
      <c r="GP6" s="13" vm="432">
        <f ca="1"/>
        <v>1563.55</v>
      </c>
      <c r="GQ6" s="13" vm="433">
        <f ca="1"/>
        <v>1566.85</v>
      </c>
      <c r="GR6" s="13" vm="434">
        <f ca="1"/>
        <v>1565.9</v>
      </c>
      <c r="GS6" s="13" vm="435">
        <f ca="1"/>
        <v>1546.4</v>
      </c>
      <c r="GT6" s="13" vm="436">
        <f ca="1"/>
        <v>1539</v>
      </c>
      <c r="GU6" s="13" vm="437">
        <f ca="1"/>
        <v>1538.4</v>
      </c>
      <c r="GV6" s="13" vm="438">
        <f ca="1"/>
        <v>1540.9</v>
      </c>
      <c r="GW6" s="13" vm="439">
        <f ca="1"/>
        <v>1542.55</v>
      </c>
      <c r="GX6" s="13" vm="440">
        <f ca="1"/>
        <v>1528.8</v>
      </c>
      <c r="GY6" s="13" vm="441">
        <f ca="1"/>
        <v>1535.3</v>
      </c>
      <c r="GZ6" s="13" vm="442">
        <f ca="1"/>
        <v>1544.9</v>
      </c>
      <c r="HA6" s="13" vm="443">
        <f ca="1"/>
        <v>1556</v>
      </c>
      <c r="HB6" s="13" vm="444">
        <f ca="1"/>
        <v>1556.05</v>
      </c>
      <c r="HC6" s="13" vm="445">
        <f ca="1"/>
        <v>1541.8</v>
      </c>
      <c r="HD6" s="13" vm="446">
        <f ca="1"/>
        <v>1544.6</v>
      </c>
      <c r="HE6" s="13" vm="447">
        <f ca="1"/>
        <v>1544.35</v>
      </c>
      <c r="HF6" s="13" vm="448">
        <f ca="1"/>
        <v>1565.1</v>
      </c>
      <c r="HG6" s="13" vm="449">
        <f ca="1"/>
        <v>1575.45</v>
      </c>
      <c r="HH6" s="13" vm="450">
        <f ca="1"/>
        <v>1570.9</v>
      </c>
      <c r="HI6" s="13" vm="451">
        <f ca="1"/>
        <v>1557.95</v>
      </c>
      <c r="HJ6" s="13" vm="452">
        <f ca="1"/>
        <v>1559</v>
      </c>
      <c r="HK6" s="13" vm="453">
        <f ca="1"/>
        <v>1545.3</v>
      </c>
      <c r="HL6" s="13" vm="454">
        <f ca="1"/>
        <v>1540.8</v>
      </c>
      <c r="HM6" s="13" vm="455">
        <f ca="1"/>
        <v>1569.4</v>
      </c>
      <c r="HN6" s="13" vm="456">
        <f ca="1"/>
        <v>1574.9</v>
      </c>
      <c r="HO6" s="13" vm="457">
        <f ca="1"/>
        <v>1592.45</v>
      </c>
      <c r="HP6" s="13" vm="458">
        <f ca="1"/>
        <v>1577.45</v>
      </c>
      <c r="HQ6" s="13" vm="459">
        <f ca="1"/>
        <v>1507.7</v>
      </c>
      <c r="HR6" s="13" vm="460">
        <f ca="1"/>
        <v>1504.1</v>
      </c>
      <c r="HS6" s="13" vm="461">
        <f ca="1"/>
        <v>1470.3</v>
      </c>
      <c r="HT6" s="13" vm="462">
        <f ca="1"/>
        <v>1475.3</v>
      </c>
      <c r="HU6" s="13" vm="463">
        <f ca="1"/>
        <v>1483.3</v>
      </c>
      <c r="HV6" s="13" vm="464">
        <f ca="1"/>
        <v>1451.5</v>
      </c>
      <c r="HW6" s="13" vm="465">
        <f ca="1"/>
        <v>1458.45</v>
      </c>
      <c r="HX6" s="13" vm="466">
        <f ca="1"/>
        <v>1457.6</v>
      </c>
      <c r="HY6" s="13" vm="467">
        <f ca="1"/>
        <v>1413.25</v>
      </c>
      <c r="HZ6" s="13" vm="468">
        <f ca="1"/>
        <v>1393.4</v>
      </c>
      <c r="IA6" s="13" vm="469">
        <f ca="1"/>
        <v>1403.9</v>
      </c>
      <c r="IB6" s="13" vm="470">
        <f ca="1"/>
        <v>1401.8</v>
      </c>
      <c r="IC6" s="13" vm="471">
        <f ca="1"/>
        <v>1385.95</v>
      </c>
      <c r="ID6" s="13" vm="472">
        <f ca="1"/>
        <v>1381.05</v>
      </c>
      <c r="IE6" s="13" vm="473">
        <f ca="1"/>
        <v>1397.05</v>
      </c>
      <c r="IF6" s="13" vm="474">
        <f ca="1"/>
        <v>1391.9</v>
      </c>
      <c r="IG6" s="13" vm="475">
        <f ca="1"/>
        <v>1395.9</v>
      </c>
      <c r="IH6" s="13" vm="476">
        <f ca="1"/>
        <v>1346</v>
      </c>
      <c r="II6" s="13" vm="477">
        <f ca="1"/>
        <v>1390.15</v>
      </c>
      <c r="IJ6" s="13" vm="478">
        <f ca="1"/>
        <v>1437.85</v>
      </c>
      <c r="IK6" s="13" vm="300">
        <f ca="1"/>
        <v>1456.6</v>
      </c>
      <c r="IL6" s="13" vm="479">
        <f ca="1"/>
        <v>1443.4</v>
      </c>
      <c r="IM6" s="13" vm="480">
        <f ca="1"/>
        <v>1450.85</v>
      </c>
      <c r="IN6" s="13" vm="481">
        <f ca="1"/>
        <v>1461.4</v>
      </c>
      <c r="IO6" s="13" vm="482">
        <f ca="1"/>
        <v>1458.55</v>
      </c>
      <c r="IP6" s="13" vm="483">
        <f ca="1"/>
        <v>1468.55</v>
      </c>
      <c r="IQ6" s="13" vm="484">
        <f ca="1"/>
        <v>1449.85</v>
      </c>
      <c r="IR6" s="13" vm="485">
        <f ca="1"/>
        <v>1419.9</v>
      </c>
      <c r="IS6" s="13" vm="486">
        <f ca="1"/>
        <v>1436.4</v>
      </c>
      <c r="IT6" s="13" vm="487">
        <f ca="1"/>
        <v>1422.8</v>
      </c>
      <c r="IU6" s="13" vm="488">
        <f ca="1"/>
        <v>1441.25</v>
      </c>
      <c r="IV6" s="13" vm="489">
        <f ca="1"/>
        <v>1410.8</v>
      </c>
      <c r="IW6" s="13" vm="490">
        <f ca="1"/>
        <v>1420.05</v>
      </c>
    </row>
    <row r="7" spans="2:257" x14ac:dyDescent="0.4">
      <c r="B7" s="13" t="e" vm="491">
        <v>#VALUE!</v>
      </c>
      <c r="C7" s="13" t="str">
        <f ca="1"/>
        <v>Automobiles &amp; Auto Parts</v>
      </c>
      <c r="D7" s="13">
        <v>82</v>
      </c>
      <c r="E7" s="23">
        <f ca="1"/>
        <v>472.9</v>
      </c>
      <c r="F7" s="23">
        <f ca="1"/>
        <v>38777.799999999996</v>
      </c>
      <c r="G7" s="23">
        <f ca="1"/>
        <v>-131.20000000000186</v>
      </c>
      <c r="H7" s="24">
        <f ca="1"/>
        <v>-3.3719704952582144E-3</v>
      </c>
      <c r="I7" s="23">
        <f ca="1"/>
        <v>-1156.2000000000044</v>
      </c>
      <c r="L7" s="13" t="e" cm="1" vm="492">
        <f t="array" aca="1" ref="L7:CE7" ca="1">TRANSPOSE(_xlfn.STOCKHISTORY(B7,TODAY()-365,TODAY(),0,0,1))</f>
        <v>#N/A</v>
      </c>
      <c r="M7" s="13" vm="493">
        <f ca="1"/>
        <v>329.45</v>
      </c>
      <c r="N7" s="13" vm="494">
        <f ca="1"/>
        <v>320.75</v>
      </c>
      <c r="O7" s="13" vm="495">
        <f ca="1"/>
        <v>317.60000000000002</v>
      </c>
      <c r="P7" s="13" vm="496">
        <f ca="1"/>
        <v>322.60000000000002</v>
      </c>
      <c r="Q7" s="13" vm="497">
        <f ca="1"/>
        <v>325.14999999999998</v>
      </c>
      <c r="R7" s="13" vm="498">
        <f ca="1"/>
        <v>325.3</v>
      </c>
      <c r="S7" s="13" vm="499">
        <f ca="1"/>
        <v>322.85000000000002</v>
      </c>
      <c r="T7" s="13" vm="500">
        <f ca="1"/>
        <v>324.10000000000002</v>
      </c>
      <c r="U7" s="13" vm="501">
        <f ca="1"/>
        <v>320.60000000000002</v>
      </c>
      <c r="V7" s="13" vm="502">
        <f ca="1"/>
        <v>317.85000000000002</v>
      </c>
      <c r="W7" s="13" vm="503">
        <f ca="1"/>
        <v>324.05</v>
      </c>
      <c r="X7" s="13" vm="504">
        <f ca="1"/>
        <v>343.9</v>
      </c>
      <c r="Y7" s="13" vm="505">
        <f ca="1"/>
        <v>352</v>
      </c>
      <c r="Z7" s="13" vm="506">
        <f ca="1"/>
        <v>359.05</v>
      </c>
      <c r="AA7" s="13" vm="507">
        <f ca="1"/>
        <v>354.8</v>
      </c>
      <c r="AB7" s="13" vm="508">
        <f ca="1"/>
        <v>360.4</v>
      </c>
      <c r="AC7" s="13" vm="509">
        <f ca="1"/>
        <v>356.45</v>
      </c>
      <c r="AD7" s="13" vm="510">
        <f ca="1"/>
        <v>359.55</v>
      </c>
      <c r="AE7" s="13" vm="511">
        <f ca="1"/>
        <v>360.35</v>
      </c>
      <c r="AF7" s="13" vm="512">
        <f ca="1"/>
        <v>373.1</v>
      </c>
      <c r="AG7" s="13" vm="513">
        <f ca="1"/>
        <v>377.8</v>
      </c>
      <c r="AH7" s="13" vm="514">
        <f ca="1"/>
        <v>372.8</v>
      </c>
      <c r="AI7" s="13" vm="515">
        <f ca="1"/>
        <v>373.45</v>
      </c>
      <c r="AJ7" s="13" vm="516">
        <f ca="1"/>
        <v>377.95</v>
      </c>
      <c r="AK7" s="13" vm="517">
        <f ca="1"/>
        <v>387.35</v>
      </c>
      <c r="AL7" s="13" vm="518">
        <f ca="1"/>
        <v>386.9</v>
      </c>
      <c r="AM7" s="13" vm="519">
        <f ca="1"/>
        <v>401.05</v>
      </c>
      <c r="AN7" s="13" vm="520">
        <f ca="1"/>
        <v>394.35</v>
      </c>
      <c r="AO7" s="13" vm="521">
        <f ca="1"/>
        <v>411.7</v>
      </c>
      <c r="AP7" s="13" vm="522">
        <f ca="1"/>
        <v>426.1</v>
      </c>
      <c r="AQ7" s="13" vm="523">
        <f ca="1"/>
        <v>408.75</v>
      </c>
      <c r="AR7" s="13" vm="524">
        <f ca="1"/>
        <v>408.65</v>
      </c>
      <c r="AS7" s="13" vm="525">
        <f ca="1"/>
        <v>409.5</v>
      </c>
      <c r="AT7" s="13" vm="526">
        <f ca="1"/>
        <v>409.65</v>
      </c>
      <c r="AU7" s="13" vm="527">
        <f ca="1"/>
        <v>415.5</v>
      </c>
      <c r="AV7" s="13" vm="528">
        <f ca="1"/>
        <v>427.75</v>
      </c>
      <c r="AW7" s="13" vm="529">
        <f ca="1"/>
        <v>442.25</v>
      </c>
      <c r="AX7" s="13" vm="530">
        <f ca="1"/>
        <v>426.45</v>
      </c>
      <c r="AY7" s="13" vm="531">
        <f ca="1"/>
        <v>432.65</v>
      </c>
      <c r="AZ7" s="13" vm="532">
        <f ca="1"/>
        <v>435.75</v>
      </c>
      <c r="BA7" s="13" vm="533">
        <f ca="1"/>
        <v>435.2</v>
      </c>
      <c r="BB7" s="13" vm="534">
        <f ca="1"/>
        <v>431.55</v>
      </c>
      <c r="BC7" s="13" vm="535">
        <f ca="1"/>
        <v>424.9</v>
      </c>
      <c r="BD7" s="13" vm="536">
        <f ca="1"/>
        <v>424.15</v>
      </c>
      <c r="BE7" s="13" vm="537">
        <f ca="1"/>
        <v>433.75</v>
      </c>
      <c r="BF7" s="13" vm="538">
        <f ca="1"/>
        <v>438.5</v>
      </c>
      <c r="BG7" s="13" vm="539">
        <f ca="1"/>
        <v>441.4</v>
      </c>
      <c r="BH7" s="13" vm="540">
        <f ca="1"/>
        <v>432.45</v>
      </c>
      <c r="BI7" s="13" vm="541">
        <f ca="1"/>
        <v>434.85</v>
      </c>
      <c r="BJ7" s="13" vm="542">
        <f ca="1"/>
        <v>444.9</v>
      </c>
      <c r="BK7" s="13" vm="543">
        <f ca="1"/>
        <v>449.2</v>
      </c>
      <c r="BL7" s="13" vm="544">
        <f ca="1"/>
        <v>443.9</v>
      </c>
      <c r="BM7" s="13" vm="545">
        <f ca="1"/>
        <v>467.95</v>
      </c>
      <c r="BN7" s="13" vm="546">
        <f ca="1"/>
        <v>470.2</v>
      </c>
      <c r="BO7" s="13" vm="547">
        <f ca="1"/>
        <v>458.5</v>
      </c>
      <c r="BP7" s="13" vm="548">
        <f ca="1"/>
        <v>441.3</v>
      </c>
      <c r="BQ7" s="13" vm="549">
        <f ca="1"/>
        <v>443.55</v>
      </c>
      <c r="BR7" s="13" vm="550">
        <f ca="1"/>
        <v>457.95</v>
      </c>
      <c r="BS7" s="13" vm="551">
        <f ca="1"/>
        <v>458.45</v>
      </c>
      <c r="BT7" s="13" vm="552">
        <f ca="1"/>
        <v>455.9</v>
      </c>
      <c r="BU7" s="13" vm="553">
        <f ca="1"/>
        <v>458.25</v>
      </c>
      <c r="BV7" s="13" vm="554">
        <f ca="1"/>
        <v>466.8</v>
      </c>
      <c r="BW7" s="13" vm="555">
        <f ca="1"/>
        <v>472.55</v>
      </c>
      <c r="BX7" s="13" vm="556">
        <f ca="1"/>
        <v>487.2</v>
      </c>
      <c r="BY7" s="13" vm="557">
        <f ca="1"/>
        <v>498.15</v>
      </c>
      <c r="BZ7" s="13" vm="558">
        <f ca="1"/>
        <v>483.75</v>
      </c>
      <c r="CA7" s="13" vm="559">
        <f ca="1"/>
        <v>479.05</v>
      </c>
      <c r="CB7" s="13" vm="560">
        <f ca="1"/>
        <v>489.75</v>
      </c>
      <c r="CC7" s="13" vm="561">
        <f ca="1"/>
        <v>488.8</v>
      </c>
      <c r="CD7" s="13" vm="562">
        <f ca="1"/>
        <v>474.5</v>
      </c>
      <c r="CE7" s="13" vm="563">
        <f ca="1"/>
        <v>472.9</v>
      </c>
    </row>
    <row r="8" spans="2:257" x14ac:dyDescent="0.4">
      <c r="B8" s="13" t="e" vm="564">
        <v>#VALUE!</v>
      </c>
      <c r="C8" s="13" t="str">
        <f ca="1"/>
        <v>Banking Services</v>
      </c>
      <c r="D8" s="13">
        <v>26</v>
      </c>
      <c r="E8" s="23">
        <f ca="1"/>
        <v>911.85</v>
      </c>
      <c r="F8" s="23">
        <f ca="1"/>
        <v>23708.100000000002</v>
      </c>
      <c r="G8" s="23">
        <f ca="1"/>
        <v>-97.5</v>
      </c>
      <c r="H8" s="24">
        <f ca="1"/>
        <v>-4.0956749672346002E-3</v>
      </c>
      <c r="I8" s="23">
        <f ca="1"/>
        <v>-523.89999999999782</v>
      </c>
      <c r="L8" s="13" cm="1" vm="565">
        <f t="array" aca="1" ref="L8:IW8" ca="1">TRANSPOSE(_xlfn.STOCKHISTORY(B8,TODAY()-365,TODAY(),0,0,1))</f>
        <v>836.47040000000004</v>
      </c>
      <c r="M8" s="13" vm="566">
        <f ca="1"/>
        <v>839.08889999999997</v>
      </c>
      <c r="N8" s="13" vm="567">
        <f ca="1"/>
        <v>848.24109999999996</v>
      </c>
      <c r="O8" s="13" vm="568">
        <f ca="1"/>
        <v>864.05179999999996</v>
      </c>
      <c r="P8" s="13" vm="569">
        <f ca="1"/>
        <v>848.66510000000005</v>
      </c>
      <c r="Q8" s="13" vm="570">
        <f ca="1"/>
        <v>852.87959999999998</v>
      </c>
      <c r="R8" s="13" vm="571">
        <f ca="1"/>
        <v>842.90440000000001</v>
      </c>
      <c r="S8" s="13" vm="572">
        <f ca="1"/>
        <v>843.50289999999995</v>
      </c>
      <c r="T8" s="13" vm="573">
        <f ca="1"/>
        <v>842.53030000000001</v>
      </c>
      <c r="U8" s="13" vm="574">
        <f ca="1"/>
        <v>841.65750000000003</v>
      </c>
      <c r="V8" s="13" vm="575">
        <f ca="1"/>
        <v>840.66</v>
      </c>
      <c r="W8" s="13" vm="576">
        <f ca="1"/>
        <v>853.45320000000004</v>
      </c>
      <c r="X8" s="13" vm="577">
        <f ca="1"/>
        <v>851.18380000000002</v>
      </c>
      <c r="Y8" s="13" vm="578">
        <f ca="1"/>
        <v>853.07910000000004</v>
      </c>
      <c r="Z8" s="13" vm="579">
        <f ca="1"/>
        <v>863.95209999999997</v>
      </c>
      <c r="AA8" s="13" vm="580">
        <f ca="1"/>
        <v>869.88729999999998</v>
      </c>
      <c r="AB8" s="13" vm="581">
        <f ca="1"/>
        <v>882.18179999999995</v>
      </c>
      <c r="AC8" s="13" vm="582">
        <f ca="1"/>
        <v>882.97979999999995</v>
      </c>
      <c r="AD8" s="13" vm="583">
        <f ca="1"/>
        <v>897.76800000000003</v>
      </c>
      <c r="AE8" s="13" vm="584">
        <f ca="1"/>
        <v>908.46640000000002</v>
      </c>
      <c r="AF8" s="13" vm="585">
        <f ca="1"/>
        <v>901.03489999999999</v>
      </c>
      <c r="AG8" s="13" vm="586">
        <f ca="1"/>
        <v>910.41160000000002</v>
      </c>
      <c r="AH8" s="13" vm="587">
        <f ca="1"/>
        <v>911.83299999999997</v>
      </c>
      <c r="AI8" s="13" vm="588">
        <f ca="1"/>
        <v>881.73289999999997</v>
      </c>
      <c r="AJ8" s="13" vm="589">
        <f ca="1"/>
        <v>896.22180000000003</v>
      </c>
      <c r="AK8" s="13" vm="590">
        <f ca="1"/>
        <v>895.19939999999997</v>
      </c>
      <c r="AL8" s="13" vm="591">
        <f ca="1"/>
        <v>906.39649999999995</v>
      </c>
      <c r="AM8" s="13" vm="592">
        <f ca="1"/>
        <v>876.67049999999995</v>
      </c>
      <c r="AN8" s="13" vm="593">
        <f ca="1"/>
        <v>882.38130000000001</v>
      </c>
      <c r="AO8" s="13" vm="594">
        <f ca="1"/>
        <v>880.31140000000005</v>
      </c>
      <c r="AP8" s="13" vm="595">
        <f ca="1"/>
        <v>901.13459999999998</v>
      </c>
      <c r="AQ8" s="13" vm="596">
        <f ca="1"/>
        <v>930.13750000000005</v>
      </c>
      <c r="AR8" s="13" vm="597">
        <f ca="1"/>
        <v>936.67129999999997</v>
      </c>
      <c r="AS8" s="13" vm="598">
        <f ca="1"/>
        <v>950.98569999999995</v>
      </c>
      <c r="AT8" s="13" vm="599">
        <f ca="1"/>
        <v>961.16039999999998</v>
      </c>
      <c r="AU8" s="13" vm="600">
        <f ca="1"/>
        <v>978.41750000000002</v>
      </c>
      <c r="AV8" s="13" vm="601">
        <f ca="1"/>
        <v>959.56439999999998</v>
      </c>
      <c r="AW8" s="13" vm="602">
        <f ca="1"/>
        <v>956.02319999999997</v>
      </c>
      <c r="AX8" s="13" vm="603">
        <f ca="1"/>
        <v>953.23009999999999</v>
      </c>
      <c r="AY8" s="13" vm="604">
        <f ca="1"/>
        <v>957.71900000000005</v>
      </c>
      <c r="AZ8" s="13" vm="605">
        <f ca="1"/>
        <v>952.03309999999999</v>
      </c>
      <c r="BA8" s="13" vm="606">
        <f ca="1"/>
        <v>960.11300000000006</v>
      </c>
      <c r="BB8" s="13" vm="606">
        <f ca="1"/>
        <v>960.11300000000006</v>
      </c>
      <c r="BC8" s="13" vm="607">
        <f ca="1"/>
        <v>965.99839999999995</v>
      </c>
      <c r="BD8" s="13" vm="608">
        <f ca="1"/>
        <v>963.4547</v>
      </c>
      <c r="BE8" s="13" vm="609">
        <f ca="1"/>
        <v>970.38750000000005</v>
      </c>
      <c r="BF8" s="13" vm="610">
        <f ca="1"/>
        <v>961.8587</v>
      </c>
      <c r="BG8" s="13" vm="611">
        <f ca="1"/>
        <v>942.5068</v>
      </c>
      <c r="BH8" s="13" vm="612">
        <f ca="1"/>
        <v>976.17309999999998</v>
      </c>
      <c r="BI8" s="13" vm="613">
        <f ca="1"/>
        <v>958.91600000000005</v>
      </c>
      <c r="BJ8" s="13" vm="614">
        <f ca="1"/>
        <v>952.93089999999995</v>
      </c>
      <c r="BK8" s="13" vm="615">
        <f ca="1"/>
        <v>964.50210000000004</v>
      </c>
      <c r="BL8" s="13" vm="616">
        <f ca="1"/>
        <v>964.95100000000002</v>
      </c>
      <c r="BM8" s="13" vm="617">
        <f ca="1"/>
        <v>966.94600000000003</v>
      </c>
      <c r="BN8" s="13" vm="618">
        <f ca="1"/>
        <v>955.07550000000003</v>
      </c>
      <c r="BO8" s="13" vm="619">
        <f ca="1"/>
        <v>961.01080000000002</v>
      </c>
      <c r="BP8" s="13" vm="620">
        <f ca="1"/>
        <v>957.5693</v>
      </c>
      <c r="BQ8" s="13" vm="621">
        <f ca="1"/>
        <v>964.40229999999997</v>
      </c>
      <c r="BR8" s="13" vm="622">
        <f ca="1"/>
        <v>967.69420000000002</v>
      </c>
      <c r="BS8" s="13" vm="623">
        <f ca="1"/>
        <v>960.76139999999998</v>
      </c>
      <c r="BT8" s="13" vm="624">
        <f ca="1"/>
        <v>959.36490000000003</v>
      </c>
      <c r="BU8" s="13" vm="625">
        <f ca="1"/>
        <v>961.35990000000004</v>
      </c>
      <c r="BV8" s="13" vm="626">
        <f ca="1"/>
        <v>970.03830000000005</v>
      </c>
      <c r="BW8" s="13" vm="627">
        <f ca="1"/>
        <v>963.65419999999995</v>
      </c>
      <c r="BX8" s="13" vm="628">
        <f ca="1"/>
        <v>959.9135</v>
      </c>
      <c r="BY8" s="13" vm="629">
        <f ca="1"/>
        <v>968.19290000000001</v>
      </c>
      <c r="BZ8" s="13" vm="630">
        <f ca="1"/>
        <v>972.38250000000005</v>
      </c>
      <c r="CA8" s="13" vm="631">
        <f ca="1"/>
        <v>986.89639999999997</v>
      </c>
      <c r="CB8" s="13" vm="632">
        <f ca="1"/>
        <v>986.99620000000004</v>
      </c>
      <c r="CC8" s="13" vm="633">
        <f ca="1"/>
        <v>980.21299999999997</v>
      </c>
      <c r="CD8" s="13" vm="634">
        <f ca="1"/>
        <v>972.78150000000005</v>
      </c>
      <c r="CE8" s="13" vm="635">
        <f ca="1"/>
        <v>969.29020000000003</v>
      </c>
      <c r="CF8" s="13" vm="636">
        <f ca="1"/>
        <v>956.42219999999998</v>
      </c>
      <c r="CG8" s="13" vm="637">
        <f ca="1"/>
        <v>965.30010000000004</v>
      </c>
      <c r="CH8" s="13" vm="638">
        <f ca="1"/>
        <v>962.40729999999996</v>
      </c>
      <c r="CI8" s="13" vm="639">
        <f ca="1"/>
        <v>964.55200000000002</v>
      </c>
      <c r="CJ8" s="13" vm="640">
        <f ca="1"/>
        <v>965.25019999999995</v>
      </c>
      <c r="CK8" s="13" vm="641">
        <f ca="1"/>
        <v>979.91380000000004</v>
      </c>
      <c r="CL8" s="13" vm="642">
        <f ca="1"/>
        <v>971.78399999999999</v>
      </c>
      <c r="CM8" s="13" vm="643">
        <f ca="1"/>
        <v>978.01850000000002</v>
      </c>
      <c r="CN8" s="13" vm="644">
        <f ca="1"/>
        <v>987.64459999999997</v>
      </c>
      <c r="CO8" s="13" vm="645">
        <f ca="1"/>
        <v>1008.393</v>
      </c>
      <c r="CP8" s="13" vm="646">
        <f ca="1"/>
        <v>1004.9515</v>
      </c>
      <c r="CQ8" s="13" vm="647">
        <f ca="1"/>
        <v>998.2681</v>
      </c>
      <c r="CR8" s="13" vm="648">
        <f ca="1"/>
        <v>1003.5549999999999</v>
      </c>
      <c r="CS8" s="13" vm="649">
        <f ca="1"/>
        <v>990.53740000000005</v>
      </c>
      <c r="CT8" s="13" vm="650">
        <f ca="1"/>
        <v>991.08600000000001</v>
      </c>
      <c r="CU8" s="13" vm="651">
        <f ca="1"/>
        <v>992.18330000000003</v>
      </c>
      <c r="CV8" s="13" vm="652">
        <f ca="1"/>
        <v>991.23559999999998</v>
      </c>
      <c r="CW8" s="13" vm="653">
        <f ca="1"/>
        <v>998.2183</v>
      </c>
      <c r="CX8" s="13" vm="654">
        <f ca="1"/>
        <v>1003.1061</v>
      </c>
      <c r="CY8" s="13" vm="655">
        <f ca="1"/>
        <v>1000.6123</v>
      </c>
      <c r="CZ8" s="13" vm="656">
        <f ca="1"/>
        <v>989.39020000000005</v>
      </c>
      <c r="DA8" s="13" vm="657">
        <f ca="1"/>
        <v>989.04110000000003</v>
      </c>
      <c r="DB8" s="13" vm="658">
        <f ca="1"/>
        <v>995.27560000000005</v>
      </c>
      <c r="DC8" s="13" vm="659">
        <f ca="1"/>
        <v>995.67460000000005</v>
      </c>
      <c r="DD8" s="13" vm="660">
        <f ca="1"/>
        <v>990.98620000000005</v>
      </c>
      <c r="DE8" s="13" vm="661">
        <f ca="1"/>
        <v>976.27279999999996</v>
      </c>
      <c r="DF8" s="13" vm="662">
        <f ca="1"/>
        <v>997.76940000000002</v>
      </c>
      <c r="DG8" s="13" vm="663">
        <f ca="1"/>
        <v>1001.0612</v>
      </c>
      <c r="DH8" s="13" vm="664">
        <f ca="1"/>
        <v>1009.6399</v>
      </c>
      <c r="DI8" s="13" vm="665">
        <f ca="1"/>
        <v>1004.6024</v>
      </c>
      <c r="DJ8" s="13" vm="666">
        <f ca="1"/>
        <v>1002.3</v>
      </c>
      <c r="DK8" s="13" vm="667">
        <f ca="1"/>
        <v>1004.25</v>
      </c>
      <c r="DL8" s="13" vm="668">
        <f ca="1"/>
        <v>1010.8</v>
      </c>
      <c r="DM8" s="13" vm="669">
        <f ca="1"/>
        <v>1012.9</v>
      </c>
      <c r="DN8" s="13" vm="670">
        <f ca="1"/>
        <v>1009.1</v>
      </c>
      <c r="DO8" s="13" vm="671">
        <f ca="1"/>
        <v>1006.1</v>
      </c>
      <c r="DP8" s="13" vm="672">
        <f ca="1"/>
        <v>996</v>
      </c>
      <c r="DQ8" s="13" vm="673">
        <f ca="1"/>
        <v>988.8</v>
      </c>
      <c r="DR8" s="13" vm="674">
        <f ca="1"/>
        <v>992.65</v>
      </c>
      <c r="DS8" s="13" vm="675">
        <f ca="1"/>
        <v>997.7</v>
      </c>
      <c r="DT8" s="13" vm="676">
        <f ca="1"/>
        <v>986.95</v>
      </c>
      <c r="DU8" s="13" vm="677">
        <f ca="1"/>
        <v>997.8</v>
      </c>
      <c r="DV8" s="13" vm="678">
        <f ca="1"/>
        <v>984.95</v>
      </c>
      <c r="DW8" s="13" vm="679">
        <f ca="1"/>
        <v>990.15</v>
      </c>
      <c r="DX8" s="13" vm="680">
        <f ca="1"/>
        <v>995.55</v>
      </c>
      <c r="DY8" s="13" vm="681">
        <f ca="1"/>
        <v>1001.8</v>
      </c>
      <c r="DZ8" s="13" vm="680">
        <f ca="1"/>
        <v>995.55</v>
      </c>
      <c r="EA8" s="13" vm="682">
        <f ca="1"/>
        <v>994.1</v>
      </c>
      <c r="EB8" s="13" vm="683">
        <f ca="1"/>
        <v>995.6</v>
      </c>
      <c r="EC8" s="13" vm="684">
        <f ca="1"/>
        <v>982.3</v>
      </c>
      <c r="ED8" s="13" vm="685">
        <f ca="1"/>
        <v>982.05</v>
      </c>
      <c r="EE8" s="13" vm="686">
        <f ca="1"/>
        <v>973.4</v>
      </c>
      <c r="EF8" s="13" vm="687">
        <f ca="1"/>
        <v>957.8</v>
      </c>
      <c r="EG8" s="13" vm="688">
        <f ca="1"/>
        <v>951.6</v>
      </c>
      <c r="EH8" s="13" vm="689">
        <f ca="1"/>
        <v>950.6</v>
      </c>
      <c r="EI8" s="13" vm="690">
        <f ca="1"/>
        <v>944.5</v>
      </c>
      <c r="EJ8" s="13" vm="691">
        <f ca="1"/>
        <v>954.45</v>
      </c>
      <c r="EK8" s="13" vm="692">
        <f ca="1"/>
        <v>961.25</v>
      </c>
      <c r="EL8" s="13" vm="693">
        <f ca="1"/>
        <v>963.4</v>
      </c>
      <c r="EM8" s="13" vm="694">
        <f ca="1"/>
        <v>966</v>
      </c>
      <c r="EN8" s="13" vm="695">
        <f ca="1"/>
        <v>965.15</v>
      </c>
      <c r="EO8" s="13" vm="696">
        <f ca="1"/>
        <v>965.9</v>
      </c>
      <c r="EP8" s="13" vm="697">
        <f ca="1"/>
        <v>967.8</v>
      </c>
      <c r="EQ8" s="13" vm="698">
        <f ca="1"/>
        <v>967.3</v>
      </c>
      <c r="ER8" s="13" vm="699">
        <f ca="1"/>
        <v>967.05</v>
      </c>
      <c r="ES8" s="13" vm="700">
        <f ca="1"/>
        <v>966.85</v>
      </c>
      <c r="ET8" s="13" vm="701">
        <f ca="1"/>
        <v>966.5</v>
      </c>
      <c r="EU8" s="13" vm="702">
        <f ca="1"/>
        <v>976.9</v>
      </c>
      <c r="EV8" s="13" vm="703">
        <f ca="1"/>
        <v>966.9</v>
      </c>
      <c r="EW8" s="13" vm="704">
        <f ca="1"/>
        <v>964.2</v>
      </c>
      <c r="EX8" s="13" vm="705">
        <f ca="1"/>
        <v>957.2</v>
      </c>
      <c r="EY8" s="13" vm="706">
        <f ca="1"/>
        <v>951.05</v>
      </c>
      <c r="EZ8" s="13" vm="707">
        <f ca="1"/>
        <v>949.85</v>
      </c>
      <c r="FA8" s="13" vm="708">
        <f ca="1"/>
        <v>945.05</v>
      </c>
      <c r="FB8" s="13" vm="709">
        <f ca="1"/>
        <v>950.3</v>
      </c>
      <c r="FC8" s="13" vm="710">
        <f ca="1"/>
        <v>951</v>
      </c>
      <c r="FD8" s="13" vm="711">
        <f ca="1"/>
        <v>965.25</v>
      </c>
      <c r="FE8" s="13" vm="695">
        <f ca="1"/>
        <v>965.15</v>
      </c>
      <c r="FF8" s="13" vm="712">
        <f ca="1"/>
        <v>973.45</v>
      </c>
      <c r="FG8" s="13" vm="713">
        <f ca="1"/>
        <v>982.5</v>
      </c>
      <c r="FH8" s="13" vm="714">
        <f ca="1"/>
        <v>978.7</v>
      </c>
      <c r="FI8" s="13" vm="715">
        <f ca="1"/>
        <v>977.1</v>
      </c>
      <c r="FJ8" s="13" vm="716">
        <f ca="1"/>
        <v>980.9</v>
      </c>
      <c r="FK8" s="13" vm="717">
        <f ca="1"/>
        <v>977</v>
      </c>
      <c r="FL8" s="13" vm="718">
        <f ca="1"/>
        <v>977.15</v>
      </c>
      <c r="FM8" s="13" vm="719">
        <f ca="1"/>
        <v>978.25</v>
      </c>
      <c r="FN8" s="13" vm="720">
        <f ca="1"/>
        <v>994.35</v>
      </c>
      <c r="FO8" s="13" vm="721">
        <f ca="1"/>
        <v>1002.55</v>
      </c>
      <c r="FP8" s="13" vm="722">
        <f ca="1"/>
        <v>1002.95</v>
      </c>
      <c r="FQ8" s="13" vm="723">
        <f ca="1"/>
        <v>1007.7</v>
      </c>
      <c r="FR8" s="13" vm="724">
        <f ca="1"/>
        <v>1008.8</v>
      </c>
      <c r="FS8" s="13" vm="725">
        <f ca="1"/>
        <v>994.75</v>
      </c>
      <c r="FT8" s="13" vm="722">
        <f ca="1"/>
        <v>1002.95</v>
      </c>
      <c r="FU8" s="13" vm="726">
        <f ca="1"/>
        <v>1003.55</v>
      </c>
      <c r="FV8" s="13" vm="727">
        <f ca="1"/>
        <v>1007.85</v>
      </c>
      <c r="FW8" s="13" vm="728">
        <f ca="1"/>
        <v>998.15</v>
      </c>
      <c r="FX8" s="13" vm="729">
        <f ca="1"/>
        <v>987.3</v>
      </c>
      <c r="FY8" s="13" vm="674">
        <f ca="1"/>
        <v>992.65</v>
      </c>
      <c r="FZ8" s="13" vm="730">
        <f ca="1"/>
        <v>985.25</v>
      </c>
      <c r="GA8" s="13" vm="731">
        <f ca="1"/>
        <v>984.65</v>
      </c>
      <c r="GB8" s="13" vm="684">
        <f ca="1"/>
        <v>982.3</v>
      </c>
      <c r="GC8" s="13" vm="732">
        <f ca="1"/>
        <v>984.5</v>
      </c>
      <c r="GD8" s="13" vm="733">
        <f ca="1"/>
        <v>991.7</v>
      </c>
      <c r="GE8" s="13" vm="734">
        <f ca="1"/>
        <v>989.5</v>
      </c>
      <c r="GF8" s="13" vm="735">
        <f ca="1"/>
        <v>986.65</v>
      </c>
      <c r="GG8" s="13" vm="736">
        <f ca="1"/>
        <v>989.6</v>
      </c>
      <c r="GH8" s="13" vm="737">
        <f ca="1"/>
        <v>996.55</v>
      </c>
      <c r="GI8" s="13" vm="738">
        <f ca="1"/>
        <v>992.45</v>
      </c>
      <c r="GJ8" s="13" vm="739">
        <f ca="1"/>
        <v>994.6</v>
      </c>
      <c r="GK8" s="13" vm="740">
        <f ca="1"/>
        <v>1008.85</v>
      </c>
      <c r="GL8" s="13" vm="741">
        <f ca="1"/>
        <v>998.05</v>
      </c>
      <c r="GM8" s="13" vm="742">
        <f ca="1"/>
        <v>999.15</v>
      </c>
      <c r="GN8" s="13" vm="743">
        <f ca="1"/>
        <v>989.8</v>
      </c>
      <c r="GO8" s="13" vm="744">
        <f ca="1"/>
        <v>1003.9</v>
      </c>
      <c r="GP8" s="13" vm="745">
        <f ca="1"/>
        <v>1009.5</v>
      </c>
      <c r="GQ8" s="13" vm="746">
        <f ca="1"/>
        <v>1007.6</v>
      </c>
      <c r="GR8" s="13" vm="747">
        <f ca="1"/>
        <v>1002.1</v>
      </c>
      <c r="GS8" s="13" vm="743">
        <f ca="1"/>
        <v>989.8</v>
      </c>
      <c r="GT8" s="13" vm="748">
        <f ca="1"/>
        <v>1000.5</v>
      </c>
      <c r="GU8" s="13" vm="749">
        <f ca="1"/>
        <v>997.2</v>
      </c>
      <c r="GV8" s="13" vm="750">
        <f ca="1"/>
        <v>1003.3</v>
      </c>
      <c r="GW8" s="13" vm="751">
        <f ca="1"/>
        <v>1003.1</v>
      </c>
      <c r="GX8" s="13" vm="752">
        <f ca="1"/>
        <v>997.1</v>
      </c>
      <c r="GY8" s="13" vm="743">
        <f ca="1"/>
        <v>989.8</v>
      </c>
      <c r="GZ8" s="13" vm="753">
        <f ca="1"/>
        <v>1000.3</v>
      </c>
      <c r="HA8" s="13" vm="754">
        <f ca="1"/>
        <v>1001.5</v>
      </c>
      <c r="HB8" s="13" vm="755">
        <f ca="1"/>
        <v>996.1</v>
      </c>
      <c r="HC8" s="13" vm="756">
        <f ca="1"/>
        <v>994.3</v>
      </c>
      <c r="HD8" s="13" vm="757">
        <f ca="1"/>
        <v>984</v>
      </c>
      <c r="HE8" s="13" vm="758">
        <f ca="1"/>
        <v>979.7</v>
      </c>
      <c r="HF8" s="13" vm="759">
        <f ca="1"/>
        <v>985.5</v>
      </c>
      <c r="HG8" s="13" vm="760">
        <f ca="1"/>
        <v>987.7</v>
      </c>
      <c r="HH8" s="13" vm="761">
        <f ca="1"/>
        <v>996.6</v>
      </c>
      <c r="HI8" s="13" vm="749">
        <f ca="1"/>
        <v>997.2</v>
      </c>
      <c r="HJ8" s="13" vm="762">
        <f ca="1"/>
        <v>992.1</v>
      </c>
      <c r="HK8" s="13" vm="733">
        <f ca="1"/>
        <v>991.7</v>
      </c>
      <c r="HL8" s="13" vm="763">
        <f ca="1"/>
        <v>990.9</v>
      </c>
      <c r="HM8" s="13" vm="764">
        <f ca="1"/>
        <v>991.2</v>
      </c>
      <c r="HN8" s="13" vm="765">
        <f ca="1"/>
        <v>991.15</v>
      </c>
      <c r="HO8" s="13" vm="766">
        <f ca="1"/>
        <v>1001.6</v>
      </c>
      <c r="HP8" s="13" vm="767">
        <f ca="1"/>
        <v>977.5</v>
      </c>
      <c r="HQ8" s="13" vm="768">
        <f ca="1"/>
        <v>962.2</v>
      </c>
      <c r="HR8" s="13" vm="769">
        <f ca="1"/>
        <v>949.05</v>
      </c>
      <c r="HS8" s="13" vm="770">
        <f ca="1"/>
        <v>946.7</v>
      </c>
      <c r="HT8" s="13" vm="771">
        <f ca="1"/>
        <v>939</v>
      </c>
      <c r="HU8" s="13" vm="772">
        <f ca="1"/>
        <v>936.95</v>
      </c>
      <c r="HV8" s="13" vm="773">
        <f ca="1"/>
        <v>937.35</v>
      </c>
      <c r="HW8" s="13" vm="774">
        <f ca="1"/>
        <v>925.45</v>
      </c>
      <c r="HX8" s="13" vm="775">
        <f ca="1"/>
        <v>931.1</v>
      </c>
      <c r="HY8" s="13" vm="776">
        <f ca="1"/>
        <v>927.9</v>
      </c>
      <c r="HZ8" s="13" vm="777">
        <f ca="1"/>
        <v>931.2</v>
      </c>
      <c r="IA8" s="13" vm="778">
        <f ca="1"/>
        <v>920.35</v>
      </c>
      <c r="IB8" s="13" vm="779">
        <f ca="1"/>
        <v>918.7</v>
      </c>
      <c r="IC8" s="13" vm="780">
        <f ca="1"/>
        <v>916.1</v>
      </c>
      <c r="ID8" s="13" vm="781">
        <f ca="1"/>
        <v>926.4</v>
      </c>
      <c r="IE8" s="13" vm="782">
        <f ca="1"/>
        <v>932.7</v>
      </c>
      <c r="IF8" s="13" vm="783">
        <f ca="1"/>
        <v>935.5</v>
      </c>
      <c r="IG8" s="13" vm="784">
        <f ca="1"/>
        <v>929.25</v>
      </c>
      <c r="IH8" s="13" vm="785">
        <f ca="1"/>
        <v>922.1</v>
      </c>
      <c r="II8" s="13" vm="786">
        <f ca="1"/>
        <v>928.1</v>
      </c>
      <c r="IJ8" s="13" vm="787">
        <f ca="1"/>
        <v>948.7</v>
      </c>
      <c r="IK8" s="13" vm="788">
        <f ca="1"/>
        <v>953.1</v>
      </c>
      <c r="IL8" s="13" vm="789">
        <f ca="1"/>
        <v>949.7</v>
      </c>
      <c r="IM8" s="13" vm="790">
        <f ca="1"/>
        <v>941.1</v>
      </c>
      <c r="IN8" s="13" vm="791">
        <f ca="1"/>
        <v>937.25</v>
      </c>
      <c r="IO8" s="13" vm="792">
        <f ca="1"/>
        <v>932.4</v>
      </c>
      <c r="IP8" s="13" vm="793">
        <f ca="1"/>
        <v>927.1</v>
      </c>
      <c r="IQ8" s="13" vm="794">
        <f ca="1"/>
        <v>920.6</v>
      </c>
      <c r="IR8" s="13" vm="795">
        <f ca="1"/>
        <v>903.9</v>
      </c>
      <c r="IS8" s="13" vm="796">
        <f ca="1"/>
        <v>925.8</v>
      </c>
      <c r="IT8" s="13" vm="797">
        <f ca="1"/>
        <v>925.7</v>
      </c>
      <c r="IU8" s="13" vm="798">
        <f ca="1"/>
        <v>924.7</v>
      </c>
      <c r="IV8" s="13" vm="799">
        <f ca="1"/>
        <v>915.6</v>
      </c>
      <c r="IW8" s="13" vm="800">
        <f ca="1"/>
        <v>911.85</v>
      </c>
    </row>
    <row r="9" spans="2:257" x14ac:dyDescent="0.4">
      <c r="B9" s="13" t="e" vm="801">
        <v>#VALUE!</v>
      </c>
      <c r="C9" s="13" t="str">
        <f ca="1"/>
        <v>Banking Services</v>
      </c>
      <c r="D9" s="13">
        <v>26</v>
      </c>
      <c r="E9" s="23">
        <f ca="1"/>
        <v>1216.0999999999999</v>
      </c>
      <c r="F9" s="23">
        <f ca="1"/>
        <v>31618.6</v>
      </c>
      <c r="G9" s="23">
        <f ca="1"/>
        <v>270.39999999999645</v>
      </c>
      <c r="H9" s="24">
        <f ca="1"/>
        <v>8.6256946172346884E-3</v>
      </c>
      <c r="I9" s="23">
        <f ca="1"/>
        <v>1822.5999999999985</v>
      </c>
      <c r="L9" s="13" cm="1" vm="802">
        <f t="array" aca="1" ref="L9:IW9" ca="1">TRANSPOSE(_xlfn.STOCKHISTORY(B9,TODAY()-365,TODAY(),0,0,1))</f>
        <v>716.4</v>
      </c>
      <c r="M9" s="13" vm="803">
        <f ca="1"/>
        <v>710.9</v>
      </c>
      <c r="N9" s="13" vm="804">
        <f ca="1"/>
        <v>703.9</v>
      </c>
      <c r="O9" s="13" vm="805">
        <f ca="1"/>
        <v>688.8</v>
      </c>
      <c r="P9" s="13" vm="806">
        <f ca="1"/>
        <v>695.3</v>
      </c>
      <c r="Q9" s="13" vm="807">
        <f ca="1"/>
        <v>716.05</v>
      </c>
      <c r="R9" s="13" vm="808">
        <f ca="1"/>
        <v>730.35</v>
      </c>
      <c r="S9" s="13" vm="809">
        <f ca="1"/>
        <v>732.05</v>
      </c>
      <c r="T9" s="13" vm="810">
        <f ca="1"/>
        <v>732.75</v>
      </c>
      <c r="U9" s="13" vm="811">
        <f ca="1"/>
        <v>728.9</v>
      </c>
      <c r="V9" s="13" vm="812">
        <f ca="1"/>
        <v>729.85</v>
      </c>
      <c r="W9" s="13" vm="813">
        <f ca="1"/>
        <v>723.05</v>
      </c>
      <c r="X9" s="13" vm="814">
        <f ca="1"/>
        <v>727.85</v>
      </c>
      <c r="Y9" s="13" vm="815">
        <f ca="1"/>
        <v>723.15</v>
      </c>
      <c r="Z9" s="13" vm="816">
        <f ca="1"/>
        <v>736.7</v>
      </c>
      <c r="AA9" s="13" vm="817">
        <f ca="1"/>
        <v>745.1</v>
      </c>
      <c r="AB9" s="13" vm="818">
        <f ca="1"/>
        <v>749.55</v>
      </c>
      <c r="AC9" s="13" vm="819">
        <f ca="1"/>
        <v>753.2</v>
      </c>
      <c r="AD9" s="13" vm="820">
        <f ca="1"/>
        <v>780.8</v>
      </c>
      <c r="AE9" s="13" vm="821">
        <f ca="1"/>
        <v>772.85</v>
      </c>
      <c r="AF9" s="13" vm="822">
        <f ca="1"/>
        <v>764</v>
      </c>
      <c r="AG9" s="13" vm="823">
        <f ca="1"/>
        <v>772.3</v>
      </c>
      <c r="AH9" s="13" vm="824">
        <f ca="1"/>
        <v>771.5</v>
      </c>
      <c r="AI9" s="13" vm="825">
        <f ca="1"/>
        <v>771.7</v>
      </c>
      <c r="AJ9" s="13" vm="826">
        <f ca="1"/>
        <v>775.95</v>
      </c>
      <c r="AK9" s="13" vm="827">
        <f ca="1"/>
        <v>779.2</v>
      </c>
      <c r="AL9" s="13" vm="828">
        <f ca="1"/>
        <v>767.45</v>
      </c>
      <c r="AM9" s="13" vm="829">
        <f ca="1"/>
        <v>746.9</v>
      </c>
      <c r="AN9" s="13" vm="830">
        <f ca="1"/>
        <v>768.6</v>
      </c>
      <c r="AO9" s="13" vm="831">
        <f ca="1"/>
        <v>742.2</v>
      </c>
      <c r="AP9" s="13" vm="832">
        <f ca="1"/>
        <v>753.85</v>
      </c>
      <c r="AQ9" s="13" vm="833">
        <f ca="1"/>
        <v>763.5</v>
      </c>
      <c r="AR9" s="13" vm="834">
        <f ca="1"/>
        <v>771.75</v>
      </c>
      <c r="AS9" s="13" vm="835">
        <f ca="1"/>
        <v>797.45</v>
      </c>
      <c r="AT9" s="13" vm="836">
        <f ca="1"/>
        <v>816.7</v>
      </c>
      <c r="AU9" s="13" vm="837">
        <f ca="1"/>
        <v>822.4</v>
      </c>
      <c r="AV9" s="13" vm="838">
        <f ca="1"/>
        <v>813.45</v>
      </c>
      <c r="AW9" s="13" vm="839">
        <f ca="1"/>
        <v>813.4</v>
      </c>
      <c r="AX9" s="13" vm="840">
        <f ca="1"/>
        <v>798.65</v>
      </c>
      <c r="AY9" s="13" vm="841">
        <f ca="1"/>
        <v>817.35</v>
      </c>
      <c r="AZ9" s="13" vm="842">
        <f ca="1"/>
        <v>812.55</v>
      </c>
      <c r="BA9" s="13" vm="843">
        <f ca="1"/>
        <v>788.65</v>
      </c>
      <c r="BB9" s="13" vm="844">
        <f ca="1"/>
        <v>800</v>
      </c>
      <c r="BC9" s="13" vm="845">
        <f ca="1"/>
        <v>790</v>
      </c>
      <c r="BD9" s="13" vm="846">
        <f ca="1"/>
        <v>774.1</v>
      </c>
      <c r="BE9" s="13" vm="847">
        <f ca="1"/>
        <v>776.1</v>
      </c>
      <c r="BF9" s="13" vm="848">
        <f ca="1"/>
        <v>769</v>
      </c>
      <c r="BG9" s="13" vm="849">
        <f ca="1"/>
        <v>779.25</v>
      </c>
      <c r="BH9" s="13" vm="850">
        <f ca="1"/>
        <v>801.65</v>
      </c>
      <c r="BI9" s="13" vm="851">
        <f ca="1"/>
        <v>801.75</v>
      </c>
      <c r="BJ9" s="13" vm="852">
        <f ca="1"/>
        <v>800.7</v>
      </c>
      <c r="BK9" s="13" vm="853">
        <f ca="1"/>
        <v>807.75</v>
      </c>
      <c r="BL9" s="13" vm="854">
        <f ca="1"/>
        <v>792.1</v>
      </c>
      <c r="BM9" s="13" vm="855">
        <f ca="1"/>
        <v>795</v>
      </c>
      <c r="BN9" s="13" vm="856">
        <f ca="1"/>
        <v>785.65</v>
      </c>
      <c r="BO9" s="13" vm="857">
        <f ca="1"/>
        <v>787.1</v>
      </c>
      <c r="BP9" s="13" vm="858">
        <f ca="1"/>
        <v>785.25</v>
      </c>
      <c r="BQ9" s="13" vm="859">
        <f ca="1"/>
        <v>790.5</v>
      </c>
      <c r="BR9" s="13" vm="860">
        <f ca="1"/>
        <v>794.4</v>
      </c>
      <c r="BS9" s="13" vm="861">
        <f ca="1"/>
        <v>793.7</v>
      </c>
      <c r="BT9" s="13" vm="862">
        <f ca="1"/>
        <v>796.55</v>
      </c>
      <c r="BU9" s="13" vm="863">
        <f ca="1"/>
        <v>797.35</v>
      </c>
      <c r="BV9" s="13" vm="864">
        <f ca="1"/>
        <v>812.3</v>
      </c>
      <c r="BW9" s="13" vm="865">
        <f ca="1"/>
        <v>813.65</v>
      </c>
      <c r="BX9" s="13" vm="866">
        <f ca="1"/>
        <v>809.8</v>
      </c>
      <c r="BY9" s="13" vm="867">
        <f ca="1"/>
        <v>806.5</v>
      </c>
      <c r="BZ9" s="13" vm="868">
        <f ca="1"/>
        <v>806</v>
      </c>
      <c r="CA9" s="13" vm="869">
        <f ca="1"/>
        <v>813.05</v>
      </c>
      <c r="CB9" s="13" vm="870">
        <f ca="1"/>
        <v>820.05</v>
      </c>
      <c r="CC9" s="13" vm="871">
        <f ca="1"/>
        <v>817.05</v>
      </c>
      <c r="CD9" s="13" vm="872">
        <f ca="1"/>
        <v>815.05</v>
      </c>
      <c r="CE9" s="13" vm="873">
        <f ca="1"/>
        <v>805.95</v>
      </c>
      <c r="CF9" s="13" vm="874">
        <f ca="1"/>
        <v>792.35</v>
      </c>
      <c r="CG9" s="13" vm="875">
        <f ca="1"/>
        <v>792.5</v>
      </c>
      <c r="CH9" s="13" vm="876">
        <f ca="1"/>
        <v>792.3</v>
      </c>
      <c r="CI9" s="13" vm="877">
        <f ca="1"/>
        <v>791.9</v>
      </c>
      <c r="CJ9" s="13" vm="878">
        <f ca="1"/>
        <v>785.1</v>
      </c>
      <c r="CK9" s="13" vm="879">
        <f ca="1"/>
        <v>796.15</v>
      </c>
      <c r="CL9" s="13" vm="880">
        <f ca="1"/>
        <v>790.2</v>
      </c>
      <c r="CM9" s="13" vm="881">
        <f ca="1"/>
        <v>795.4</v>
      </c>
      <c r="CN9" s="13" vm="882">
        <f ca="1"/>
        <v>800.05</v>
      </c>
      <c r="CO9" s="13" vm="883">
        <f ca="1"/>
        <v>797.05</v>
      </c>
      <c r="CP9" s="13" vm="884">
        <f ca="1"/>
        <v>805.4</v>
      </c>
      <c r="CQ9" s="13" vm="885">
        <f ca="1"/>
        <v>820.35</v>
      </c>
      <c r="CR9" s="13" vm="886">
        <f ca="1"/>
        <v>820.3</v>
      </c>
      <c r="CS9" s="13" vm="887">
        <f ca="1"/>
        <v>812.9</v>
      </c>
      <c r="CT9" s="13" vm="888">
        <f ca="1"/>
        <v>807.1</v>
      </c>
      <c r="CU9" s="13" vm="889">
        <f ca="1"/>
        <v>811.85</v>
      </c>
      <c r="CV9" s="13" vm="890">
        <f ca="1"/>
        <v>806.85</v>
      </c>
      <c r="CW9" s="13" vm="891">
        <f ca="1"/>
        <v>812.65</v>
      </c>
      <c r="CX9" s="13" vm="892">
        <f ca="1"/>
        <v>810.95</v>
      </c>
      <c r="CY9" s="13" vm="893">
        <f ca="1"/>
        <v>808</v>
      </c>
      <c r="CZ9" s="13" vm="894">
        <f ca="1"/>
        <v>808.65</v>
      </c>
      <c r="DA9" s="13" vm="895">
        <f ca="1"/>
        <v>808.85</v>
      </c>
      <c r="DB9" s="13" vm="896">
        <f ca="1"/>
        <v>816.45</v>
      </c>
      <c r="DC9" s="13" vm="897">
        <f ca="1"/>
        <v>831.7</v>
      </c>
      <c r="DD9" s="13" vm="898">
        <f ca="1"/>
        <v>829</v>
      </c>
      <c r="DE9" s="13" vm="899">
        <f ca="1"/>
        <v>823.35</v>
      </c>
      <c r="DF9" s="13" vm="900">
        <f ca="1"/>
        <v>824.2</v>
      </c>
      <c r="DG9" s="13" vm="901">
        <f ca="1"/>
        <v>815</v>
      </c>
      <c r="DH9" s="13" vm="902">
        <f ca="1"/>
        <v>820.65</v>
      </c>
      <c r="DI9" s="13" vm="903">
        <f ca="1"/>
        <v>815.7</v>
      </c>
      <c r="DJ9" s="13" vm="904">
        <f ca="1"/>
        <v>806.55</v>
      </c>
      <c r="DK9" s="13" vm="905">
        <f ca="1"/>
        <v>797.15</v>
      </c>
      <c r="DL9" s="13" vm="906">
        <f ca="1"/>
        <v>799.2</v>
      </c>
      <c r="DM9" s="13" vm="850">
        <f ca="1"/>
        <v>801.65</v>
      </c>
      <c r="DN9" s="13" vm="862">
        <f ca="1"/>
        <v>796.55</v>
      </c>
      <c r="DO9" s="13" vm="907">
        <f ca="1"/>
        <v>794</v>
      </c>
      <c r="DP9" s="13" vm="908">
        <f ca="1"/>
        <v>795.7</v>
      </c>
      <c r="DQ9" s="13" vm="909">
        <f ca="1"/>
        <v>800.6</v>
      </c>
      <c r="DR9" s="13" vm="910">
        <f ca="1"/>
        <v>805.15</v>
      </c>
      <c r="DS9" s="13" vm="910">
        <f ca="1"/>
        <v>805.15</v>
      </c>
      <c r="DT9" s="13" vm="911">
        <f ca="1"/>
        <v>804.3</v>
      </c>
      <c r="DU9" s="13" vm="912">
        <f ca="1"/>
        <v>823.45</v>
      </c>
      <c r="DV9" s="13" vm="913">
        <f ca="1"/>
        <v>820.6</v>
      </c>
      <c r="DW9" s="13" vm="914">
        <f ca="1"/>
        <v>821.85</v>
      </c>
      <c r="DX9" s="13" vm="915">
        <f ca="1"/>
        <v>826.55</v>
      </c>
      <c r="DY9" s="13" vm="916">
        <f ca="1"/>
        <v>827.65</v>
      </c>
      <c r="DZ9" s="13" vm="917">
        <f ca="1"/>
        <v>830.4</v>
      </c>
      <c r="EA9" s="13" vm="918">
        <f ca="1"/>
        <v>828.95</v>
      </c>
      <c r="EB9" s="13" vm="919">
        <f ca="1"/>
        <v>825.7</v>
      </c>
      <c r="EC9" s="13" vm="920">
        <f ca="1"/>
        <v>816.25</v>
      </c>
      <c r="ED9" s="13" vm="896">
        <f ca="1"/>
        <v>816.45</v>
      </c>
      <c r="EE9" s="13" vm="921">
        <f ca="1"/>
        <v>807.85</v>
      </c>
      <c r="EF9" s="13" vm="922">
        <f ca="1"/>
        <v>801.95</v>
      </c>
      <c r="EG9" s="13" vm="923">
        <f ca="1"/>
        <v>802.5</v>
      </c>
      <c r="EH9" s="13" vm="924">
        <f ca="1"/>
        <v>806.05</v>
      </c>
      <c r="EI9" s="13" vm="925">
        <f ca="1"/>
        <v>803.9</v>
      </c>
      <c r="EJ9" s="13" vm="926">
        <f ca="1"/>
        <v>812.15</v>
      </c>
      <c r="EK9" s="13" vm="927">
        <f ca="1"/>
        <v>809.4</v>
      </c>
      <c r="EL9" s="13" vm="928">
        <f ca="1"/>
        <v>806.6</v>
      </c>
      <c r="EM9" s="13" vm="929">
        <f ca="1"/>
        <v>808.8</v>
      </c>
      <c r="EN9" s="13" vm="895">
        <f ca="1"/>
        <v>808.85</v>
      </c>
      <c r="EO9" s="13" vm="930">
        <f ca="1"/>
        <v>818.2</v>
      </c>
      <c r="EP9" s="13" vm="931">
        <f ca="1"/>
        <v>823.65</v>
      </c>
      <c r="EQ9" s="13" vm="932">
        <f ca="1"/>
        <v>823.55</v>
      </c>
      <c r="ER9" s="13" vm="933">
        <f ca="1"/>
        <v>824.75</v>
      </c>
      <c r="ES9" s="13" vm="934">
        <f ca="1"/>
        <v>831.55</v>
      </c>
      <c r="ET9" s="13" vm="935">
        <f ca="1"/>
        <v>857.15</v>
      </c>
      <c r="EU9" s="13" vm="936">
        <f ca="1"/>
        <v>854.35</v>
      </c>
      <c r="EV9" s="13" vm="937">
        <f ca="1"/>
        <v>862.35</v>
      </c>
      <c r="EW9" s="13" vm="938">
        <f ca="1"/>
        <v>855.25</v>
      </c>
      <c r="EX9" s="13" vm="939">
        <f ca="1"/>
        <v>870.6</v>
      </c>
      <c r="EY9" s="13" vm="940">
        <f ca="1"/>
        <v>866.2</v>
      </c>
      <c r="EZ9" s="13" vm="941">
        <f ca="1"/>
        <v>861.15</v>
      </c>
      <c r="FA9" s="13" vm="942">
        <f ca="1"/>
        <v>856.95</v>
      </c>
      <c r="FB9" s="13" vm="943">
        <f ca="1"/>
        <v>870.75</v>
      </c>
      <c r="FC9" s="13" vm="944">
        <f ca="1"/>
        <v>872.45</v>
      </c>
      <c r="FD9" s="13" vm="945">
        <f ca="1"/>
        <v>864.1</v>
      </c>
      <c r="FE9" s="13" vm="946">
        <f ca="1"/>
        <v>867.3</v>
      </c>
      <c r="FF9" s="13" vm="947">
        <f ca="1"/>
        <v>874.05</v>
      </c>
      <c r="FG9" s="13" vm="948">
        <f ca="1"/>
        <v>864.7</v>
      </c>
      <c r="FH9" s="13" vm="949">
        <f ca="1"/>
        <v>858.25</v>
      </c>
      <c r="FI9" s="13" vm="950">
        <f ca="1"/>
        <v>862.1</v>
      </c>
      <c r="FJ9" s="13" vm="951">
        <f ca="1"/>
        <v>880.65</v>
      </c>
      <c r="FK9" s="13" vm="952">
        <f ca="1"/>
        <v>882.95</v>
      </c>
      <c r="FL9" s="13" vm="953">
        <f ca="1"/>
        <v>876.95</v>
      </c>
      <c r="FM9" s="13" vm="954">
        <f ca="1"/>
        <v>886.1</v>
      </c>
      <c r="FN9" s="13" vm="955">
        <f ca="1"/>
        <v>886.95</v>
      </c>
      <c r="FO9" s="13" vm="956">
        <f ca="1"/>
        <v>889.15</v>
      </c>
      <c r="FP9" s="13" vm="957">
        <f ca="1"/>
        <v>907.5</v>
      </c>
      <c r="FQ9" s="13" vm="958">
        <f ca="1"/>
        <v>907.85</v>
      </c>
      <c r="FR9" s="13" vm="959">
        <f ca="1"/>
        <v>911.55</v>
      </c>
      <c r="FS9" s="13" vm="960">
        <f ca="1"/>
        <v>904.5</v>
      </c>
      <c r="FT9" s="13" vm="961">
        <f ca="1"/>
        <v>922.75</v>
      </c>
      <c r="FU9" s="13" vm="962">
        <f ca="1"/>
        <v>930.25</v>
      </c>
      <c r="FV9" s="13" vm="963">
        <f ca="1"/>
        <v>939.75</v>
      </c>
      <c r="FW9" s="13" vm="964">
        <f ca="1"/>
        <v>934.35</v>
      </c>
      <c r="FX9" s="13" vm="965">
        <f ca="1"/>
        <v>937</v>
      </c>
      <c r="FY9" s="13" vm="789">
        <f ca="1"/>
        <v>949.7</v>
      </c>
      <c r="FZ9" s="13" vm="966">
        <f ca="1"/>
        <v>957.6</v>
      </c>
      <c r="GA9" s="13" vm="967">
        <f ca="1"/>
        <v>960.75</v>
      </c>
      <c r="GB9" s="13" vm="968">
        <f ca="1"/>
        <v>955.85</v>
      </c>
      <c r="GC9" s="13" vm="969">
        <f ca="1"/>
        <v>951.15</v>
      </c>
      <c r="GD9" s="13" vm="970">
        <f ca="1"/>
        <v>953.3</v>
      </c>
      <c r="GE9" s="13" vm="971">
        <f ca="1"/>
        <v>957.15</v>
      </c>
      <c r="GF9" s="13" vm="972">
        <f ca="1"/>
        <v>954</v>
      </c>
      <c r="GG9" s="13" vm="973">
        <f ca="1"/>
        <v>967.85</v>
      </c>
      <c r="GH9" s="13" vm="974">
        <f ca="1"/>
        <v>973.35</v>
      </c>
      <c r="GI9" s="13" vm="975">
        <f ca="1"/>
        <v>972.45</v>
      </c>
      <c r="GJ9" s="13" vm="976">
        <f ca="1"/>
        <v>982.75</v>
      </c>
      <c r="GK9" s="13" vm="977">
        <f ca="1"/>
        <v>981.55</v>
      </c>
      <c r="GL9" s="13" vm="978">
        <f ca="1"/>
        <v>972.6</v>
      </c>
      <c r="GM9" s="13" vm="979">
        <f ca="1"/>
        <v>970.6</v>
      </c>
      <c r="GN9" s="13" vm="980">
        <f ca="1"/>
        <v>983.6</v>
      </c>
      <c r="GO9" s="13" vm="981">
        <f ca="1"/>
        <v>983.9</v>
      </c>
      <c r="GP9" s="13" vm="982">
        <f ca="1"/>
        <v>972.85</v>
      </c>
      <c r="GQ9" s="13" vm="983">
        <f ca="1"/>
        <v>979</v>
      </c>
      <c r="GR9" s="13" vm="984">
        <f ca="1"/>
        <v>973.1</v>
      </c>
      <c r="GS9" s="13" vm="698">
        <f ca="1"/>
        <v>967.3</v>
      </c>
      <c r="GT9" s="13" vm="706">
        <f ca="1"/>
        <v>951.05</v>
      </c>
      <c r="GU9" s="13" vm="985">
        <f ca="1"/>
        <v>948.1</v>
      </c>
      <c r="GV9" s="13" vm="986">
        <f ca="1"/>
        <v>971.5</v>
      </c>
      <c r="GW9" s="13" vm="987">
        <f ca="1"/>
        <v>956.4</v>
      </c>
      <c r="GX9" s="13" vm="988">
        <f ca="1"/>
        <v>959.35</v>
      </c>
      <c r="GY9" s="13" vm="989">
        <f ca="1"/>
        <v>959.75</v>
      </c>
      <c r="GZ9" s="13" vm="990">
        <f ca="1"/>
        <v>963.25</v>
      </c>
      <c r="HA9" s="13" vm="991">
        <f ca="1"/>
        <v>963.15</v>
      </c>
      <c r="HB9" s="13" vm="992">
        <f ca="1"/>
        <v>967.25</v>
      </c>
      <c r="HC9" s="13" vm="993">
        <f ca="1"/>
        <v>961.15</v>
      </c>
      <c r="HD9" s="13" vm="994">
        <f ca="1"/>
        <v>975.85</v>
      </c>
      <c r="HE9" s="13" vm="995">
        <f ca="1"/>
        <v>977.55</v>
      </c>
      <c r="HF9" s="13" vm="996">
        <f ca="1"/>
        <v>980.3</v>
      </c>
      <c r="HG9" s="13" vm="997">
        <f ca="1"/>
        <v>974.3</v>
      </c>
      <c r="HH9" s="13" vm="998">
        <f ca="1"/>
        <v>971.9</v>
      </c>
      <c r="HI9" s="13" vm="999">
        <f ca="1"/>
        <v>968.95</v>
      </c>
      <c r="HJ9" s="13" vm="1000">
        <f ca="1"/>
        <v>966.3</v>
      </c>
      <c r="HK9" s="13" vm="1001">
        <f ca="1"/>
        <v>965.05</v>
      </c>
      <c r="HL9" s="13" vm="712">
        <f ca="1"/>
        <v>973.45</v>
      </c>
      <c r="HM9" s="13" vm="1002">
        <f ca="1"/>
        <v>982.2</v>
      </c>
      <c r="HN9" s="13" vm="1003">
        <f ca="1"/>
        <v>984.75</v>
      </c>
      <c r="HO9" s="13" vm="1004">
        <f ca="1"/>
        <v>998.95</v>
      </c>
      <c r="HP9" s="13" vm="1005">
        <f ca="1"/>
        <v>1005.55</v>
      </c>
      <c r="HQ9" s="13" vm="1006">
        <f ca="1"/>
        <v>1018.9</v>
      </c>
      <c r="HR9" s="13" vm="1007">
        <f ca="1"/>
        <v>1007.15</v>
      </c>
      <c r="HS9" s="13" vm="1008">
        <f ca="1"/>
        <v>998</v>
      </c>
      <c r="HT9" s="13" vm="748">
        <f ca="1"/>
        <v>1000.5</v>
      </c>
      <c r="HU9" s="13" vm="1009">
        <f ca="1"/>
        <v>1015.15</v>
      </c>
      <c r="HV9" s="13" vm="1010">
        <f ca="1"/>
        <v>1028.45</v>
      </c>
      <c r="HW9" s="13" vm="1011">
        <f ca="1"/>
        <v>1028.3499999999999</v>
      </c>
      <c r="HX9" s="13" vm="1012">
        <f ca="1"/>
        <v>1042.3</v>
      </c>
      <c r="HY9" s="13" vm="1013">
        <f ca="1"/>
        <v>1038.4000000000001</v>
      </c>
      <c r="HZ9" s="13" vm="1014">
        <f ca="1"/>
        <v>1036.4000000000001</v>
      </c>
      <c r="IA9" s="13" vm="1015">
        <f ca="1"/>
        <v>1028.6500000000001</v>
      </c>
      <c r="IB9" s="13" vm="1016">
        <f ca="1"/>
        <v>1048.3499999999999</v>
      </c>
      <c r="IC9" s="13" vm="1017">
        <f ca="1"/>
        <v>1029.5</v>
      </c>
      <c r="ID9" s="13" vm="1018">
        <f ca="1"/>
        <v>1053.1500000000001</v>
      </c>
      <c r="IE9" s="13" vm="1019">
        <f ca="1"/>
        <v>1063.5</v>
      </c>
      <c r="IF9" s="13" vm="1020">
        <f ca="1"/>
        <v>1066.2</v>
      </c>
      <c r="IG9" s="13" vm="1021">
        <f ca="1"/>
        <v>1077.1500000000001</v>
      </c>
      <c r="IH9" s="13" vm="1022">
        <f ca="1"/>
        <v>1018.2</v>
      </c>
      <c r="II9" s="13" vm="1023">
        <f ca="1"/>
        <v>1028.7</v>
      </c>
      <c r="IJ9" s="13" vm="1024">
        <f ca="1"/>
        <v>1064.2</v>
      </c>
      <c r="IK9" s="13" vm="1025">
        <f ca="1"/>
        <v>1068.2</v>
      </c>
      <c r="IL9" s="13" vm="1026">
        <f ca="1"/>
        <v>1073.5</v>
      </c>
      <c r="IM9" s="13" vm="1027">
        <f ca="1"/>
        <v>1066.4000000000001</v>
      </c>
      <c r="IN9" s="13" vm="1028">
        <f ca="1"/>
        <v>1146</v>
      </c>
      <c r="IO9" s="13" vm="1029">
        <f ca="1"/>
        <v>1144.0999999999999</v>
      </c>
      <c r="IP9" s="13" vm="1030">
        <f ca="1"/>
        <v>1182.9000000000001</v>
      </c>
      <c r="IQ9" s="13" vm="1031">
        <f ca="1"/>
        <v>1192.4000000000001</v>
      </c>
      <c r="IR9" s="13" vm="1032">
        <f ca="1"/>
        <v>1198.5999999999999</v>
      </c>
      <c r="IS9" s="13" vm="1033">
        <f ca="1"/>
        <v>1208.0999999999999</v>
      </c>
      <c r="IT9" s="13" vm="1034">
        <f ca="1"/>
        <v>1213.4000000000001</v>
      </c>
      <c r="IU9" s="13" vm="1035">
        <f ca="1"/>
        <v>1218.9000000000001</v>
      </c>
      <c r="IV9" s="13" vm="1036">
        <f ca="1"/>
        <v>1205.7</v>
      </c>
      <c r="IW9" s="13" vm="1037">
        <f ca="1"/>
        <v>1216.0999999999999</v>
      </c>
    </row>
    <row r="10" spans="2:257" x14ac:dyDescent="0.4">
      <c r="B10" s="13" t="e" vm="1038">
        <v>#VALUE!</v>
      </c>
      <c r="C10" s="13" t="str">
        <f ca="1"/>
        <v>Pharmaceuticals</v>
      </c>
      <c r="D10" s="13">
        <v>17</v>
      </c>
      <c r="E10" s="23">
        <f ca="1"/>
        <v>1724.4</v>
      </c>
      <c r="F10" s="23">
        <f ca="1"/>
        <v>29314.800000000003</v>
      </c>
      <c r="G10" s="23">
        <f ca="1"/>
        <v>187</v>
      </c>
      <c r="H10" s="24">
        <f ca="1"/>
        <v>6.4199836582234148E-3</v>
      </c>
      <c r="I10" s="23">
        <f ca="1"/>
        <v>312.80000000000291</v>
      </c>
      <c r="L10" s="13" cm="1" vm="1039">
        <f t="array" aca="1" ref="L10:IW10" ca="1">TRANSPOSE(_xlfn.STOCKHISTORY(B10,TODAY()-365,TODAY(),0,0,1))</f>
        <v>1639.5</v>
      </c>
      <c r="M10" s="13" vm="1040">
        <f ca="1"/>
        <v>1613.6</v>
      </c>
      <c r="N10" s="13" vm="1041">
        <f ca="1"/>
        <v>1647.5</v>
      </c>
      <c r="O10" s="13" vm="1042">
        <f ca="1"/>
        <v>1593.25</v>
      </c>
      <c r="P10" s="13" vm="1043">
        <f ca="1"/>
        <v>1585.1</v>
      </c>
      <c r="Q10" s="13" vm="1044">
        <f ca="1"/>
        <v>1566.5</v>
      </c>
      <c r="R10" s="13" vm="1045">
        <f ca="1"/>
        <v>1582.45</v>
      </c>
      <c r="S10" s="13" vm="1046">
        <f ca="1"/>
        <v>1614</v>
      </c>
      <c r="T10" s="13" vm="1047">
        <f ca="1"/>
        <v>1609.3</v>
      </c>
      <c r="U10" s="13" vm="1048">
        <f ca="1"/>
        <v>1611.5</v>
      </c>
      <c r="V10" s="13" vm="1049">
        <f ca="1"/>
        <v>1655.3</v>
      </c>
      <c r="W10" s="13" vm="1050">
        <f ca="1"/>
        <v>1676.85</v>
      </c>
      <c r="X10" s="13" vm="1051">
        <f ca="1"/>
        <v>1683.45</v>
      </c>
      <c r="Y10" s="13" vm="1052">
        <f ca="1"/>
        <v>1704.3</v>
      </c>
      <c r="Z10" s="13" vm="1053">
        <f ca="1"/>
        <v>1747.8</v>
      </c>
      <c r="AA10" s="13" vm="1054">
        <f ca="1"/>
        <v>1732.35</v>
      </c>
      <c r="AB10" s="13" vm="1055">
        <f ca="1"/>
        <v>1750.25</v>
      </c>
      <c r="AC10" s="13" vm="1056">
        <f ca="1"/>
        <v>1784.5</v>
      </c>
      <c r="AD10" s="13" vm="1057">
        <f ca="1"/>
        <v>1784.8</v>
      </c>
      <c r="AE10" s="13" vm="1058">
        <f ca="1"/>
        <v>1764.75</v>
      </c>
      <c r="AF10" s="13" vm="1059">
        <f ca="1"/>
        <v>1758.95</v>
      </c>
      <c r="AG10" s="13" vm="1060">
        <f ca="1"/>
        <v>1731.45</v>
      </c>
      <c r="AH10" s="13" vm="1061">
        <f ca="1"/>
        <v>1734.7</v>
      </c>
      <c r="AI10" s="13" vm="1062">
        <f ca="1"/>
        <v>1698.35</v>
      </c>
      <c r="AJ10" s="13" vm="1063">
        <f ca="1"/>
        <v>1713.65</v>
      </c>
      <c r="AK10" s="13" vm="1064">
        <f ca="1"/>
        <v>1770</v>
      </c>
      <c r="AL10" s="13" vm="1065">
        <f ca="1"/>
        <v>1709.35</v>
      </c>
      <c r="AM10" s="13" vm="1066">
        <f ca="1"/>
        <v>1666.35</v>
      </c>
      <c r="AN10" s="13" vm="1067">
        <f ca="1"/>
        <v>1688.35</v>
      </c>
      <c r="AO10" s="13" vm="1068">
        <f ca="1"/>
        <v>1652.2</v>
      </c>
      <c r="AP10" s="13" vm="1069">
        <f ca="1"/>
        <v>1687.55</v>
      </c>
      <c r="AQ10" s="13" vm="1070">
        <f ca="1"/>
        <v>1705</v>
      </c>
      <c r="AR10" s="13" vm="1071">
        <f ca="1"/>
        <v>1693.1</v>
      </c>
      <c r="AS10" s="13" vm="1072">
        <f ca="1"/>
        <v>1751.5</v>
      </c>
      <c r="AT10" s="13" vm="1073">
        <f ca="1"/>
        <v>1744.9</v>
      </c>
      <c r="AU10" s="13" vm="1074">
        <f ca="1"/>
        <v>1747.4</v>
      </c>
      <c r="AV10" s="13" vm="1075">
        <f ca="1"/>
        <v>1788.8</v>
      </c>
      <c r="AW10" s="13" vm="1076">
        <f ca="1"/>
        <v>1803.9</v>
      </c>
      <c r="AX10" s="13" vm="1077">
        <f ca="1"/>
        <v>1787.4</v>
      </c>
      <c r="AY10" s="13" vm="1078">
        <f ca="1"/>
        <v>1841.6</v>
      </c>
      <c r="AZ10" s="13" vm="1079">
        <f ca="1"/>
        <v>1805.5</v>
      </c>
      <c r="BA10" s="13" vm="1080">
        <f ca="1"/>
        <v>1832.3</v>
      </c>
      <c r="BB10" s="13" vm="1081">
        <f ca="1"/>
        <v>1829.4</v>
      </c>
      <c r="BC10" s="13" vm="1082">
        <f ca="1"/>
        <v>1836.6</v>
      </c>
      <c r="BD10" s="13" vm="1083">
        <f ca="1"/>
        <v>1819.1</v>
      </c>
      <c r="BE10" s="13" vm="1084">
        <f ca="1"/>
        <v>1781.3</v>
      </c>
      <c r="BF10" s="13" vm="1085">
        <f ca="1"/>
        <v>1767.2</v>
      </c>
      <c r="BG10" s="13" vm="1086">
        <f ca="1"/>
        <v>1744.8</v>
      </c>
      <c r="BH10" s="13" vm="1087">
        <f ca="1"/>
        <v>1686.2</v>
      </c>
      <c r="BI10" s="13" vm="1088">
        <f ca="1"/>
        <v>1700</v>
      </c>
      <c r="BJ10" s="13" vm="1089">
        <f ca="1"/>
        <v>1708.2</v>
      </c>
      <c r="BK10" s="13" vm="1090">
        <f ca="1"/>
        <v>1740.1</v>
      </c>
      <c r="BL10" s="13" vm="1091">
        <f ca="1"/>
        <v>1734.9</v>
      </c>
      <c r="BM10" s="13" vm="1092">
        <f ca="1"/>
        <v>1730.2</v>
      </c>
      <c r="BN10" s="13" vm="1093">
        <f ca="1"/>
        <v>1707.8</v>
      </c>
      <c r="BO10" s="13" vm="1094">
        <f ca="1"/>
        <v>1731.8</v>
      </c>
      <c r="BP10" s="13" vm="1095">
        <f ca="1"/>
        <v>1718.7</v>
      </c>
      <c r="BQ10" s="13" vm="1096">
        <f ca="1"/>
        <v>1683.6</v>
      </c>
      <c r="BR10" s="13" vm="1097">
        <f ca="1"/>
        <v>1676.1</v>
      </c>
      <c r="BS10" s="13" vm="1098">
        <f ca="1"/>
        <v>1683.4</v>
      </c>
      <c r="BT10" s="13" vm="1099">
        <f ca="1"/>
        <v>1666.4</v>
      </c>
      <c r="BU10" s="13" vm="1100">
        <f ca="1"/>
        <v>1699.8</v>
      </c>
      <c r="BV10" s="13" vm="1101">
        <f ca="1"/>
        <v>1677.6</v>
      </c>
      <c r="BW10" s="13" vm="1102">
        <f ca="1"/>
        <v>1674.6</v>
      </c>
      <c r="BX10" s="13" vm="1103">
        <f ca="1"/>
        <v>1667.5</v>
      </c>
      <c r="BY10" s="13" vm="1104">
        <f ca="1"/>
        <v>1664.9</v>
      </c>
      <c r="BZ10" s="13" vm="1105">
        <f ca="1"/>
        <v>1683.1</v>
      </c>
      <c r="CA10" s="13" vm="1106">
        <f ca="1"/>
        <v>1679.2</v>
      </c>
      <c r="CB10" s="13" vm="1107">
        <f ca="1"/>
        <v>1694.4</v>
      </c>
      <c r="CC10" s="13" vm="1108">
        <f ca="1"/>
        <v>1688.8</v>
      </c>
      <c r="CD10" s="13" vm="1109">
        <f ca="1"/>
        <v>1690.6</v>
      </c>
      <c r="CE10" s="13" vm="1110">
        <f ca="1"/>
        <v>1687.4</v>
      </c>
      <c r="CF10" s="13" vm="1111">
        <f ca="1"/>
        <v>1687.8</v>
      </c>
      <c r="CG10" s="13" vm="1112">
        <f ca="1"/>
        <v>1685.3</v>
      </c>
      <c r="CH10" s="13" vm="1113">
        <f ca="1"/>
        <v>1650.2</v>
      </c>
      <c r="CI10" s="13" vm="1114">
        <f ca="1"/>
        <v>1648</v>
      </c>
      <c r="CJ10" s="13" vm="1115">
        <f ca="1"/>
        <v>1647.6</v>
      </c>
      <c r="CK10" s="13" vm="1116">
        <f ca="1"/>
        <v>1665.1</v>
      </c>
      <c r="CL10" s="13" vm="1117">
        <f ca="1"/>
        <v>1662.5</v>
      </c>
      <c r="CM10" s="13" vm="1118">
        <f ca="1"/>
        <v>1661.7</v>
      </c>
      <c r="CN10" s="13" vm="1119">
        <f ca="1"/>
        <v>1669.6</v>
      </c>
      <c r="CO10" s="13" vm="1120">
        <f ca="1"/>
        <v>1669.8</v>
      </c>
      <c r="CP10" s="13" vm="1121">
        <f ca="1"/>
        <v>1687.6</v>
      </c>
      <c r="CQ10" s="13" vm="1122">
        <f ca="1"/>
        <v>1675.7</v>
      </c>
      <c r="CR10" s="13" vm="1123">
        <f ca="1"/>
        <v>1667.2</v>
      </c>
      <c r="CS10" s="13" vm="1124">
        <f ca="1"/>
        <v>1677.5</v>
      </c>
      <c r="CT10" s="13" vm="1125">
        <f ca="1"/>
        <v>1679.7</v>
      </c>
      <c r="CU10" s="13" vm="1126">
        <f ca="1"/>
        <v>1676.3</v>
      </c>
      <c r="CV10" s="13" vm="1127">
        <f ca="1"/>
        <v>1679.9</v>
      </c>
      <c r="CW10" s="13" vm="1128">
        <f ca="1"/>
        <v>1672.5</v>
      </c>
      <c r="CX10" s="13" vm="1129">
        <f ca="1"/>
        <v>1669.4</v>
      </c>
      <c r="CY10" s="13" vm="1117">
        <f ca="1"/>
        <v>1662.5</v>
      </c>
      <c r="CZ10" s="13" vm="1130">
        <f ca="1"/>
        <v>1672</v>
      </c>
      <c r="DA10" s="13" vm="1131">
        <f ca="1"/>
        <v>1682.6</v>
      </c>
      <c r="DB10" s="13" vm="1132">
        <f ca="1"/>
        <v>1727.5</v>
      </c>
      <c r="DC10" s="13" vm="1133">
        <f ca="1"/>
        <v>1701</v>
      </c>
      <c r="DD10" s="13" vm="1134">
        <f ca="1"/>
        <v>1703.4</v>
      </c>
      <c r="DE10" s="13" vm="1135">
        <f ca="1"/>
        <v>1693.6</v>
      </c>
      <c r="DF10" s="13" vm="1136">
        <f ca="1"/>
        <v>1692.3</v>
      </c>
      <c r="DG10" s="13" vm="1137">
        <f ca="1"/>
        <v>1678</v>
      </c>
      <c r="DH10" s="13" vm="1138">
        <f ca="1"/>
        <v>1682.5</v>
      </c>
      <c r="DI10" s="13" vm="1139">
        <f ca="1"/>
        <v>1692</v>
      </c>
      <c r="DJ10" s="13" vm="1140">
        <f ca="1"/>
        <v>1699</v>
      </c>
      <c r="DK10" s="13" vm="1141">
        <f ca="1"/>
        <v>1702.2</v>
      </c>
      <c r="DL10" s="13" vm="1142">
        <f ca="1"/>
        <v>1710.5</v>
      </c>
      <c r="DM10" s="13" vm="1143">
        <f ca="1"/>
        <v>1733.8</v>
      </c>
      <c r="DN10" s="13" vm="1144">
        <f ca="1"/>
        <v>1706.7</v>
      </c>
      <c r="DO10" s="13" vm="1145">
        <f ca="1"/>
        <v>1629.7</v>
      </c>
      <c r="DP10" s="13" vm="1146">
        <f ca="1"/>
        <v>1641.6</v>
      </c>
      <c r="DQ10" s="13" vm="1147">
        <f ca="1"/>
        <v>1632.1</v>
      </c>
      <c r="DR10" s="13" vm="1148">
        <f ca="1"/>
        <v>1595.2</v>
      </c>
      <c r="DS10" s="13" vm="1149">
        <f ca="1"/>
        <v>1598.4</v>
      </c>
      <c r="DT10" s="13" vm="1150">
        <f ca="1"/>
        <v>1586.9</v>
      </c>
      <c r="DU10" s="13" vm="1151">
        <f ca="1"/>
        <v>1608.4</v>
      </c>
      <c r="DV10" s="13" vm="1152">
        <f ca="1"/>
        <v>1622.2</v>
      </c>
      <c r="DW10" s="13" vm="1153">
        <f ca="1"/>
        <v>1639.8</v>
      </c>
      <c r="DX10" s="13" vm="1154">
        <f ca="1"/>
        <v>1641.4</v>
      </c>
      <c r="DY10" s="13" vm="1155">
        <f ca="1"/>
        <v>1632.7</v>
      </c>
      <c r="DZ10" s="13" vm="1156">
        <f ca="1"/>
        <v>1626.6</v>
      </c>
      <c r="EA10" s="13" vm="1157">
        <f ca="1"/>
        <v>1633.1</v>
      </c>
      <c r="EB10" s="13" vm="1158">
        <f ca="1"/>
        <v>1640.2</v>
      </c>
      <c r="EC10" s="13" vm="1159">
        <f ca="1"/>
        <v>1641.8</v>
      </c>
      <c r="ED10" s="13" vm="1160">
        <f ca="1"/>
        <v>1656.7</v>
      </c>
      <c r="EE10" s="13" vm="1161">
        <f ca="1"/>
        <v>1600.3</v>
      </c>
      <c r="EF10" s="13" vm="1162">
        <f ca="1"/>
        <v>1585.7</v>
      </c>
      <c r="EG10" s="13" vm="1163">
        <f ca="1"/>
        <v>1594.5</v>
      </c>
      <c r="EH10" s="13" vm="1164">
        <f ca="1"/>
        <v>1563.3</v>
      </c>
      <c r="EI10" s="13" vm="1165">
        <f ca="1"/>
        <v>1565.2</v>
      </c>
      <c r="EJ10" s="13" vm="1166">
        <f ca="1"/>
        <v>1578.7</v>
      </c>
      <c r="EK10" s="13" vm="1167">
        <f ca="1"/>
        <v>1582.3</v>
      </c>
      <c r="EL10" s="13" vm="1168">
        <f ca="1"/>
        <v>1593.6</v>
      </c>
      <c r="EM10" s="13" vm="1169">
        <f ca="1"/>
        <v>1581</v>
      </c>
      <c r="EN10" s="13" vm="1170">
        <f ca="1"/>
        <v>1591.7</v>
      </c>
      <c r="EO10" s="13" vm="1171">
        <f ca="1"/>
        <v>1593.4</v>
      </c>
      <c r="EP10" s="13" vm="1172">
        <f ca="1"/>
        <v>1609.7</v>
      </c>
      <c r="EQ10" s="13" vm="1173">
        <f ca="1"/>
        <v>1616.6</v>
      </c>
      <c r="ER10" s="13" vm="1174">
        <f ca="1"/>
        <v>1602</v>
      </c>
      <c r="ES10" s="13" vm="1175">
        <f ca="1"/>
        <v>1610.5</v>
      </c>
      <c r="ET10" s="13" vm="1176">
        <f ca="1"/>
        <v>1620.2</v>
      </c>
      <c r="EU10" s="13" vm="1177">
        <f ca="1"/>
        <v>1648.6</v>
      </c>
      <c r="EV10" s="13" vm="1178">
        <f ca="1"/>
        <v>1656</v>
      </c>
      <c r="EW10" s="13" vm="1179">
        <f ca="1"/>
        <v>1644</v>
      </c>
      <c r="EX10" s="13" vm="1180">
        <f ca="1"/>
        <v>1631.2</v>
      </c>
      <c r="EY10" s="13" vm="1181">
        <f ca="1"/>
        <v>1627.1</v>
      </c>
      <c r="EZ10" s="13" vm="1182">
        <f ca="1"/>
        <v>1627.4</v>
      </c>
      <c r="FA10" s="13" vm="1183">
        <f ca="1"/>
        <v>1586.7</v>
      </c>
      <c r="FB10" s="13" vm="1184">
        <f ca="1"/>
        <v>1589.3</v>
      </c>
      <c r="FC10" s="13" vm="1185">
        <f ca="1"/>
        <v>1594.3</v>
      </c>
      <c r="FD10" s="13" vm="1186">
        <f ca="1"/>
        <v>1636.2</v>
      </c>
      <c r="FE10" s="13" vm="1180">
        <f ca="1"/>
        <v>1631.2</v>
      </c>
      <c r="FF10" s="13" vm="1187">
        <f ca="1"/>
        <v>1654.7</v>
      </c>
      <c r="FG10" s="13" vm="1188">
        <f ca="1"/>
        <v>1653.1</v>
      </c>
      <c r="FH10" s="13" vm="1189">
        <f ca="1"/>
        <v>1631.6</v>
      </c>
      <c r="FI10" s="13" vm="1190">
        <f ca="1"/>
        <v>1658.5</v>
      </c>
      <c r="FJ10" s="13" vm="1191">
        <f ca="1"/>
        <v>1670.9</v>
      </c>
      <c r="FK10" s="13" vm="1192">
        <f ca="1"/>
        <v>1668.4</v>
      </c>
      <c r="FL10" s="13" vm="1193">
        <f ca="1"/>
        <v>1654.4</v>
      </c>
      <c r="FM10" s="13" vm="1194">
        <f ca="1"/>
        <v>1655.1</v>
      </c>
      <c r="FN10" s="13" vm="1195">
        <f ca="1"/>
        <v>1659</v>
      </c>
      <c r="FO10" s="13" vm="1196">
        <f ca="1"/>
        <v>1679.1</v>
      </c>
      <c r="FP10" s="13" vm="1197">
        <f ca="1"/>
        <v>1688.6</v>
      </c>
      <c r="FQ10" s="13" vm="1198">
        <f ca="1"/>
        <v>1690.5</v>
      </c>
      <c r="FR10" s="13" vm="1199">
        <f ca="1"/>
        <v>1689.9</v>
      </c>
      <c r="FS10" s="13" vm="1140">
        <f ca="1"/>
        <v>1699</v>
      </c>
      <c r="FT10" s="13" vm="1135">
        <f ca="1"/>
        <v>1693.6</v>
      </c>
      <c r="FU10" s="13" vm="1200">
        <f ca="1"/>
        <v>1687</v>
      </c>
      <c r="FV10" s="13" vm="1201">
        <f ca="1"/>
        <v>1715.9</v>
      </c>
      <c r="FW10" s="13" vm="1134">
        <f ca="1"/>
        <v>1703.4</v>
      </c>
      <c r="FX10" s="13" vm="1202">
        <f ca="1"/>
        <v>1690.7</v>
      </c>
      <c r="FY10" s="13" vm="1203">
        <f ca="1"/>
        <v>1706.4</v>
      </c>
      <c r="FZ10" s="13" vm="1204">
        <f ca="1"/>
        <v>1690</v>
      </c>
      <c r="GA10" s="13" vm="1205">
        <f ca="1"/>
        <v>1685.9</v>
      </c>
      <c r="GB10" s="13" vm="1206">
        <f ca="1"/>
        <v>1691.4</v>
      </c>
      <c r="GC10" s="13" vm="1207">
        <f ca="1"/>
        <v>1697.8</v>
      </c>
      <c r="GD10" s="13" vm="1208">
        <f ca="1"/>
        <v>1716.1</v>
      </c>
      <c r="GE10" s="13" vm="1209">
        <f ca="1"/>
        <v>1732.1</v>
      </c>
      <c r="GF10" s="13" vm="1210">
        <f ca="1"/>
        <v>1737.4</v>
      </c>
      <c r="GG10" s="13" vm="1211">
        <f ca="1"/>
        <v>1757.1</v>
      </c>
      <c r="GH10" s="13" vm="1212">
        <f ca="1"/>
        <v>1763.9</v>
      </c>
      <c r="GI10" s="13" vm="1213">
        <f ca="1"/>
        <v>1758.8</v>
      </c>
      <c r="GJ10" s="13" vm="1214">
        <f ca="1"/>
        <v>1784.1</v>
      </c>
      <c r="GK10" s="13" vm="1215">
        <f ca="1"/>
        <v>1777.4</v>
      </c>
      <c r="GL10" s="13" vm="1216">
        <f ca="1"/>
        <v>1779.7</v>
      </c>
      <c r="GM10" s="13" vm="1217">
        <f ca="1"/>
        <v>1780.8</v>
      </c>
      <c r="GN10" s="13" vm="1218">
        <f ca="1"/>
        <v>1776.8</v>
      </c>
      <c r="GO10" s="13" vm="1219">
        <f ca="1"/>
        <v>1804.9</v>
      </c>
      <c r="GP10" s="13" vm="1220">
        <f ca="1"/>
        <v>1810.3</v>
      </c>
      <c r="GQ10" s="13" vm="1221">
        <f ca="1"/>
        <v>1831.6</v>
      </c>
      <c r="GR10" s="13" vm="1222">
        <f ca="1"/>
        <v>1807.4</v>
      </c>
      <c r="GS10" s="13" vm="1223">
        <f ca="1"/>
        <v>1799.5</v>
      </c>
      <c r="GT10" s="13" vm="1224">
        <f ca="1"/>
        <v>1806.7</v>
      </c>
      <c r="GU10" s="13" vm="1225">
        <f ca="1"/>
        <v>1818.3</v>
      </c>
      <c r="GV10" s="13" vm="1226">
        <f ca="1"/>
        <v>1805.3</v>
      </c>
      <c r="GW10" s="13" vm="1227">
        <f ca="1"/>
        <v>1796.2</v>
      </c>
      <c r="GX10" s="13" vm="1228">
        <f ca="1"/>
        <v>1776</v>
      </c>
      <c r="GY10" s="13" vm="1229">
        <f ca="1"/>
        <v>1785.5</v>
      </c>
      <c r="GZ10" s="13" vm="1230">
        <f ca="1"/>
        <v>1807.2</v>
      </c>
      <c r="HA10" s="13" vm="1231">
        <f ca="1"/>
        <v>1793.5</v>
      </c>
      <c r="HB10" s="13" vm="1232">
        <f ca="1"/>
        <v>1797.1</v>
      </c>
      <c r="HC10" s="13" vm="1084">
        <f ca="1"/>
        <v>1781.3</v>
      </c>
      <c r="HD10" s="13" vm="1233">
        <f ca="1"/>
        <v>1792.9</v>
      </c>
      <c r="HE10" s="13" vm="1234">
        <f ca="1"/>
        <v>1745.9</v>
      </c>
      <c r="HF10" s="13" vm="1073">
        <f ca="1"/>
        <v>1744.9</v>
      </c>
      <c r="HG10" s="13" vm="1235">
        <f ca="1"/>
        <v>1769.8</v>
      </c>
      <c r="HH10" s="13" vm="1236">
        <f ca="1"/>
        <v>1755.9</v>
      </c>
      <c r="HI10" s="13" vm="1237">
        <f ca="1"/>
        <v>1737</v>
      </c>
      <c r="HJ10" s="13" vm="1238">
        <f ca="1"/>
        <v>1719.5</v>
      </c>
      <c r="HK10" s="13" vm="1239">
        <f ca="1"/>
        <v>1717.2</v>
      </c>
      <c r="HL10" s="13" vm="1240">
        <f ca="1"/>
        <v>1720.2</v>
      </c>
      <c r="HM10" s="13" vm="1241">
        <f ca="1"/>
        <v>1719.7</v>
      </c>
      <c r="HN10" s="13" vm="1242">
        <f ca="1"/>
        <v>1721.1</v>
      </c>
      <c r="HO10" s="13" vm="1243">
        <f ca="1"/>
        <v>1728</v>
      </c>
      <c r="HP10" s="13" vm="1244">
        <f ca="1"/>
        <v>1728.9</v>
      </c>
      <c r="HQ10" s="13" vm="1245">
        <f ca="1"/>
        <v>1760.2</v>
      </c>
      <c r="HR10" s="13" vm="1246">
        <f ca="1"/>
        <v>1782.6</v>
      </c>
      <c r="HS10" s="13" vm="1247">
        <f ca="1"/>
        <v>1760.7</v>
      </c>
      <c r="HT10" s="13" vm="1248">
        <f ca="1"/>
        <v>1729.9</v>
      </c>
      <c r="HU10" s="13" vm="1249">
        <f ca="1"/>
        <v>1736</v>
      </c>
      <c r="HV10" s="13" vm="1250">
        <f ca="1"/>
        <v>1728.7</v>
      </c>
      <c r="HW10" s="13" vm="1251">
        <f ca="1"/>
        <v>1700.7</v>
      </c>
      <c r="HX10" s="13" vm="1252">
        <f ca="1"/>
        <v>1668.9</v>
      </c>
      <c r="HY10" s="13" vm="1253">
        <f ca="1"/>
        <v>1675.4</v>
      </c>
      <c r="HZ10" s="13" vm="1254">
        <f ca="1"/>
        <v>1613.8</v>
      </c>
      <c r="IA10" s="13" vm="1255">
        <f ca="1"/>
        <v>1612.9</v>
      </c>
      <c r="IB10" s="13" vm="1256">
        <f ca="1"/>
        <v>1634.2</v>
      </c>
      <c r="IC10" s="13" vm="1257">
        <f ca="1"/>
        <v>1631.9</v>
      </c>
      <c r="ID10" s="13" vm="1258">
        <f ca="1"/>
        <v>1638.9</v>
      </c>
      <c r="IE10" s="13" vm="1259">
        <f ca="1"/>
        <v>1610.6</v>
      </c>
      <c r="IF10" s="13" vm="1184">
        <f ca="1"/>
        <v>1589.3</v>
      </c>
      <c r="IG10" s="13" vm="1260">
        <f ca="1"/>
        <v>1595.3</v>
      </c>
      <c r="IH10" s="13" vm="1261">
        <f ca="1"/>
        <v>1610.1</v>
      </c>
      <c r="II10" s="13" vm="1262">
        <f ca="1"/>
        <v>1627.9</v>
      </c>
      <c r="IJ10" s="13" vm="1263">
        <f ca="1"/>
        <v>1702.1</v>
      </c>
      <c r="IK10" s="13" vm="1264">
        <f ca="1"/>
        <v>1704.4</v>
      </c>
      <c r="IL10" s="13" vm="1265">
        <f ca="1"/>
        <v>1702.6</v>
      </c>
      <c r="IM10" s="13" vm="1266">
        <f ca="1"/>
        <v>1695.1</v>
      </c>
      <c r="IN10" s="13" vm="1267">
        <f ca="1"/>
        <v>1704.6</v>
      </c>
      <c r="IO10" s="13" vm="1093">
        <f ca="1"/>
        <v>1707.8</v>
      </c>
      <c r="IP10" s="13" vm="1268">
        <f ca="1"/>
        <v>1711.1</v>
      </c>
      <c r="IQ10" s="13" vm="1269">
        <f ca="1"/>
        <v>1714.9</v>
      </c>
      <c r="IR10" s="13" vm="1270">
        <f ca="1"/>
        <v>1697.5</v>
      </c>
      <c r="IS10" s="13" vm="1271">
        <f ca="1"/>
        <v>1700.5</v>
      </c>
      <c r="IT10" s="13" vm="1272">
        <f ca="1"/>
        <v>1717.1</v>
      </c>
      <c r="IU10" s="13" vm="1273">
        <f ca="1"/>
        <v>1724.4</v>
      </c>
      <c r="IV10" s="13" vm="1274">
        <f ca="1"/>
        <v>1713.4</v>
      </c>
      <c r="IW10" s="13" vm="1273">
        <f ca="1"/>
        <v>1724.4</v>
      </c>
    </row>
    <row r="11" spans="2:257" x14ac:dyDescent="0.4">
      <c r="B11" s="13" t="e" vm="1275">
        <v>#VALUE!</v>
      </c>
      <c r="C11" s="13" t="str">
        <f ca="1"/>
        <v>Biotechnology &amp; Medical Research</v>
      </c>
      <c r="D11" s="13">
        <v>40</v>
      </c>
      <c r="E11" s="23">
        <f ca="1"/>
        <v>383.95</v>
      </c>
      <c r="F11" s="23">
        <f ca="1"/>
        <v>15358</v>
      </c>
      <c r="G11" s="23">
        <f ca="1"/>
        <v>52.000000000000455</v>
      </c>
      <c r="H11" s="24">
        <f ca="1"/>
        <v>3.3973605122174606E-3</v>
      </c>
      <c r="I11" s="23">
        <f ca="1"/>
        <v>438</v>
      </c>
      <c r="L11" s="13" cm="1" vm="1276">
        <f t="array" aca="1" ref="L11:IW11" ca="1">TRANSPOSE(_xlfn.STOCKHISTORY(B11,TODAY()-365,TODAY(),0,0,1))</f>
        <v>320.85000000000002</v>
      </c>
      <c r="M11" s="13" vm="1277">
        <f ca="1"/>
        <v>321.2</v>
      </c>
      <c r="N11" s="13" vm="1278">
        <f ca="1"/>
        <v>311.85000000000002</v>
      </c>
      <c r="O11" s="13" vm="1279">
        <f ca="1"/>
        <v>302.45</v>
      </c>
      <c r="P11" s="13" vm="1280">
        <f ca="1"/>
        <v>305.05</v>
      </c>
      <c r="Q11" s="13" vm="1281">
        <f ca="1"/>
        <v>314.8</v>
      </c>
      <c r="R11" s="13" vm="1282">
        <f ca="1"/>
        <v>324.85000000000002</v>
      </c>
      <c r="S11" s="13" vm="1283">
        <f ca="1"/>
        <v>333</v>
      </c>
      <c r="T11" s="13" vm="1284">
        <f ca="1"/>
        <v>333.7</v>
      </c>
      <c r="U11" s="13" vm="1285">
        <f ca="1"/>
        <v>328.15</v>
      </c>
      <c r="V11" s="13" vm="1286">
        <f ca="1"/>
        <v>328.9</v>
      </c>
      <c r="W11" s="13" vm="1287">
        <f ca="1"/>
        <v>325.10000000000002</v>
      </c>
      <c r="X11" s="13" vm="1288">
        <f ca="1"/>
        <v>323.05</v>
      </c>
      <c r="Y11" s="13" vm="1289">
        <f ca="1"/>
        <v>333.25</v>
      </c>
      <c r="Z11" s="13" vm="1290">
        <f ca="1"/>
        <v>336.35</v>
      </c>
      <c r="AA11" s="13" vm="1291">
        <f ca="1"/>
        <v>341.9</v>
      </c>
      <c r="AB11" s="13" vm="1292">
        <f ca="1"/>
        <v>341.1</v>
      </c>
      <c r="AC11" s="13" vm="1293">
        <f ca="1"/>
        <v>344.1</v>
      </c>
      <c r="AD11" s="13" vm="1294">
        <f ca="1"/>
        <v>349.3</v>
      </c>
      <c r="AE11" s="13" vm="1295">
        <f ca="1"/>
        <v>348.15</v>
      </c>
      <c r="AF11" s="13" vm="1296">
        <f ca="1"/>
        <v>348.3</v>
      </c>
      <c r="AG11" s="13" vm="1297">
        <f ca="1"/>
        <v>345.55</v>
      </c>
      <c r="AH11" s="13" vm="1298">
        <f ca="1"/>
        <v>341.7</v>
      </c>
      <c r="AI11" s="13" vm="1299">
        <f ca="1"/>
        <v>339.1</v>
      </c>
      <c r="AJ11" s="13" vm="1300">
        <f ca="1"/>
        <v>342.05</v>
      </c>
      <c r="AK11" s="13" vm="1301">
        <f ca="1"/>
        <v>345.75</v>
      </c>
      <c r="AL11" s="13" vm="1302">
        <f ca="1"/>
        <v>327.8</v>
      </c>
      <c r="AM11" s="13" vm="1303">
        <f ca="1"/>
        <v>307.5</v>
      </c>
      <c r="AN11" s="13" vm="1304">
        <f ca="1"/>
        <v>322.3</v>
      </c>
      <c r="AO11" s="13" vm="1305">
        <f ca="1"/>
        <v>306.3</v>
      </c>
      <c r="AP11" s="13" vm="1306">
        <f ca="1"/>
        <v>316.55</v>
      </c>
      <c r="AQ11" s="13" vm="1307">
        <f ca="1"/>
        <v>328.85</v>
      </c>
      <c r="AR11" s="13" vm="1308">
        <f ca="1"/>
        <v>329.15</v>
      </c>
      <c r="AS11" s="13" vm="1309">
        <f ca="1"/>
        <v>331.3</v>
      </c>
      <c r="AT11" s="13" vm="1310">
        <f ca="1"/>
        <v>331.9</v>
      </c>
      <c r="AU11" s="13" vm="1311">
        <f ca="1"/>
        <v>333.8</v>
      </c>
      <c r="AV11" s="13" vm="1312">
        <f ca="1"/>
        <v>335.7</v>
      </c>
      <c r="AW11" s="13" vm="1313">
        <f ca="1"/>
        <v>326.75</v>
      </c>
      <c r="AX11" s="13" vm="1278">
        <f ca="1"/>
        <v>311.85000000000002</v>
      </c>
      <c r="AY11" s="13" vm="1276">
        <f ca="1"/>
        <v>320.85000000000002</v>
      </c>
      <c r="AZ11" s="13" vm="1314">
        <f ca="1"/>
        <v>318.85000000000002</v>
      </c>
      <c r="BA11" s="13" vm="1315">
        <f ca="1"/>
        <v>321.8</v>
      </c>
      <c r="BB11" s="13" vm="1316">
        <f ca="1"/>
        <v>318.89999999999998</v>
      </c>
      <c r="BC11" s="13" vm="1317">
        <f ca="1"/>
        <v>335.9</v>
      </c>
      <c r="BD11" s="13" vm="1318">
        <f ca="1"/>
        <v>341.45</v>
      </c>
      <c r="BE11" s="13" vm="1319">
        <f ca="1"/>
        <v>346.5</v>
      </c>
      <c r="BF11" s="13" vm="1320">
        <f ca="1"/>
        <v>334.6</v>
      </c>
      <c r="BG11" s="13" vm="1321">
        <f ca="1"/>
        <v>329.9</v>
      </c>
      <c r="BH11" s="13" vm="1285">
        <f ca="1"/>
        <v>328.15</v>
      </c>
      <c r="BI11" s="13" vm="1322">
        <f ca="1"/>
        <v>329.85</v>
      </c>
      <c r="BJ11" s="13" vm="1323">
        <f ca="1"/>
        <v>338.2</v>
      </c>
      <c r="BK11" s="13" vm="1324">
        <f ca="1"/>
        <v>338.6</v>
      </c>
      <c r="BL11" s="13" vm="1325">
        <f ca="1"/>
        <v>339.4</v>
      </c>
      <c r="BM11" s="13" vm="1326">
        <f ca="1"/>
        <v>341.6</v>
      </c>
      <c r="BN11" s="13" vm="1327">
        <f ca="1"/>
        <v>332.5</v>
      </c>
      <c r="BO11" s="13" vm="1328">
        <f ca="1"/>
        <v>340.65</v>
      </c>
      <c r="BP11" s="13" vm="1329">
        <f ca="1"/>
        <v>333.1</v>
      </c>
      <c r="BQ11" s="13" vm="1330">
        <f ca="1"/>
        <v>330.75</v>
      </c>
      <c r="BR11" s="13" vm="1331">
        <f ca="1"/>
        <v>332.35</v>
      </c>
      <c r="BS11" s="13" vm="1332">
        <f ca="1"/>
        <v>335.05</v>
      </c>
      <c r="BT11" s="13" vm="1333">
        <f ca="1"/>
        <v>334.35</v>
      </c>
      <c r="BU11" s="13" vm="1334">
        <f ca="1"/>
        <v>335.6</v>
      </c>
      <c r="BV11" s="13" vm="1335">
        <f ca="1"/>
        <v>335.85</v>
      </c>
      <c r="BW11" s="13" vm="1336">
        <f ca="1"/>
        <v>334</v>
      </c>
      <c r="BX11" s="13" vm="1337">
        <f ca="1"/>
        <v>337.2</v>
      </c>
      <c r="BY11" s="13" vm="1338">
        <f ca="1"/>
        <v>336.4</v>
      </c>
      <c r="BZ11" s="13" vm="1339">
        <f ca="1"/>
        <v>330.6</v>
      </c>
      <c r="CA11" s="13" vm="1340">
        <f ca="1"/>
        <v>330.05</v>
      </c>
      <c r="CB11" s="13" vm="1341">
        <f ca="1"/>
        <v>338.15</v>
      </c>
      <c r="CC11" s="13" vm="1342">
        <f ca="1"/>
        <v>341.2</v>
      </c>
      <c r="CD11" s="13" vm="1343">
        <f ca="1"/>
        <v>354.45</v>
      </c>
      <c r="CE11" s="13" vm="1344">
        <f ca="1"/>
        <v>352.25</v>
      </c>
      <c r="CF11" s="13" vm="1345">
        <f ca="1"/>
        <v>355.4</v>
      </c>
      <c r="CG11" s="13" vm="1346">
        <f ca="1"/>
        <v>357.25</v>
      </c>
      <c r="CH11" s="13" vm="1347">
        <f ca="1"/>
        <v>352.65</v>
      </c>
      <c r="CI11" s="13" vm="1348">
        <f ca="1"/>
        <v>342</v>
      </c>
      <c r="CJ11" s="13" vm="1349">
        <f ca="1"/>
        <v>348.6</v>
      </c>
      <c r="CK11" s="13" vm="1350">
        <f ca="1"/>
        <v>351.35</v>
      </c>
      <c r="CL11" s="13" vm="1351">
        <f ca="1"/>
        <v>352.2</v>
      </c>
      <c r="CM11" s="13" vm="1352">
        <f ca="1"/>
        <v>349.2</v>
      </c>
      <c r="CN11" s="13" vm="1353">
        <f ca="1"/>
        <v>351.4</v>
      </c>
      <c r="CO11" s="13" vm="1354">
        <f ca="1"/>
        <v>350.5</v>
      </c>
      <c r="CP11" s="13" vm="1355">
        <f ca="1"/>
        <v>354.4</v>
      </c>
      <c r="CQ11" s="13" vm="1356">
        <f ca="1"/>
        <v>355.7</v>
      </c>
      <c r="CR11" s="13" vm="1357">
        <f ca="1"/>
        <v>362.5</v>
      </c>
      <c r="CS11" s="13" vm="1358">
        <f ca="1"/>
        <v>368.55</v>
      </c>
      <c r="CT11" s="13" vm="1359">
        <f ca="1"/>
        <v>374.45</v>
      </c>
      <c r="CU11" s="13" vm="1360">
        <f ca="1"/>
        <v>380.05</v>
      </c>
      <c r="CV11" s="13" vm="1361">
        <f ca="1"/>
        <v>372.1</v>
      </c>
      <c r="CW11" s="13" vm="1362">
        <f ca="1"/>
        <v>369.35</v>
      </c>
      <c r="CX11" s="13" vm="1363">
        <f ca="1"/>
        <v>373.55</v>
      </c>
      <c r="CY11" s="13" vm="1364">
        <f ca="1"/>
        <v>372.4</v>
      </c>
      <c r="CZ11" s="13" vm="1365">
        <f ca="1"/>
        <v>374.2</v>
      </c>
      <c r="DA11" s="13" vm="1366">
        <f ca="1"/>
        <v>379.1</v>
      </c>
      <c r="DB11" s="13" vm="1367">
        <f ca="1"/>
        <v>390.45</v>
      </c>
      <c r="DC11" s="13" vm="1368">
        <f ca="1"/>
        <v>394.65</v>
      </c>
      <c r="DD11" s="13" vm="1369">
        <f ca="1"/>
        <v>397</v>
      </c>
      <c r="DE11" s="13" vm="1370">
        <f ca="1"/>
        <v>398.75</v>
      </c>
      <c r="DF11" s="13" vm="1368">
        <f ca="1"/>
        <v>394.65</v>
      </c>
      <c r="DG11" s="13" vm="1371">
        <f ca="1"/>
        <v>387.2</v>
      </c>
      <c r="DH11" s="13" vm="1372">
        <f ca="1"/>
        <v>396.95</v>
      </c>
      <c r="DI11" s="13" vm="1373">
        <f ca="1"/>
        <v>397.6</v>
      </c>
      <c r="DJ11" s="13" vm="1374">
        <f ca="1"/>
        <v>394.15</v>
      </c>
      <c r="DK11" s="13" vm="1375">
        <f ca="1"/>
        <v>387.45</v>
      </c>
      <c r="DL11" s="13" vm="1376">
        <f ca="1"/>
        <v>398.15</v>
      </c>
      <c r="DM11" s="13" vm="1377">
        <f ca="1"/>
        <v>397.3</v>
      </c>
      <c r="DN11" s="13" vm="1378">
        <f ca="1"/>
        <v>391.4</v>
      </c>
      <c r="DO11" s="13" vm="1379">
        <f ca="1"/>
        <v>383.1</v>
      </c>
      <c r="DP11" s="13" vm="1380">
        <f ca="1"/>
        <v>382.4</v>
      </c>
      <c r="DQ11" s="13" vm="1381">
        <f ca="1"/>
        <v>372.35</v>
      </c>
      <c r="DR11" s="13" vm="508">
        <f ca="1"/>
        <v>360.4</v>
      </c>
      <c r="DS11" s="13" vm="1382">
        <f ca="1"/>
        <v>364.2</v>
      </c>
      <c r="DT11" s="13" vm="1383">
        <f ca="1"/>
        <v>343.35</v>
      </c>
      <c r="DU11" s="13" vm="1384">
        <f ca="1"/>
        <v>342.1</v>
      </c>
      <c r="DV11" s="13" vm="1385">
        <f ca="1"/>
        <v>354.9</v>
      </c>
      <c r="DW11" s="13" vm="1386">
        <f ca="1"/>
        <v>360.25</v>
      </c>
      <c r="DX11" s="13" vm="1387">
        <f ca="1"/>
        <v>359.25</v>
      </c>
      <c r="DY11" s="13" vm="1388">
        <f ca="1"/>
        <v>364.3</v>
      </c>
      <c r="DZ11" s="13" vm="1389">
        <f ca="1"/>
        <v>363.85</v>
      </c>
      <c r="EA11" s="13" vm="1390">
        <f ca="1"/>
        <v>359.45</v>
      </c>
      <c r="EB11" s="13" vm="1391">
        <f ca="1"/>
        <v>357.75</v>
      </c>
      <c r="EC11" s="13" vm="1392">
        <f ca="1"/>
        <v>359.5</v>
      </c>
      <c r="ED11" s="13" vm="1393">
        <f ca="1"/>
        <v>359.95</v>
      </c>
      <c r="EE11" s="13" vm="1394">
        <f ca="1"/>
        <v>358.3</v>
      </c>
      <c r="EF11" s="13" vm="1395">
        <f ca="1"/>
        <v>353.25</v>
      </c>
      <c r="EG11" s="13" vm="1396">
        <f ca="1"/>
        <v>348.35</v>
      </c>
      <c r="EH11" s="13" vm="1397">
        <f ca="1"/>
        <v>352.55</v>
      </c>
      <c r="EI11" s="13" vm="1398">
        <f ca="1"/>
        <v>356.1</v>
      </c>
      <c r="EJ11" s="13" vm="1399">
        <f ca="1"/>
        <v>361.55</v>
      </c>
      <c r="EK11" s="13" vm="1400">
        <f ca="1"/>
        <v>356.85</v>
      </c>
      <c r="EL11" s="13" vm="1401">
        <f ca="1"/>
        <v>363.7</v>
      </c>
      <c r="EM11" s="13" vm="1402">
        <f ca="1"/>
        <v>364.15</v>
      </c>
      <c r="EN11" s="13" vm="1403">
        <f ca="1"/>
        <v>364.5</v>
      </c>
      <c r="EO11" s="13" vm="1382">
        <f ca="1"/>
        <v>364.2</v>
      </c>
      <c r="EP11" s="13" vm="1404">
        <f ca="1"/>
        <v>364.05</v>
      </c>
      <c r="EQ11" s="13" vm="1405">
        <f ca="1"/>
        <v>365.2</v>
      </c>
      <c r="ER11" s="13" vm="1406">
        <f ca="1"/>
        <v>358.25</v>
      </c>
      <c r="ES11" s="13" vm="1407">
        <f ca="1"/>
        <v>360.2</v>
      </c>
      <c r="ET11" s="13" vm="1408">
        <f ca="1"/>
        <v>354.35</v>
      </c>
      <c r="EU11" s="13" vm="1409">
        <f ca="1"/>
        <v>368.4</v>
      </c>
      <c r="EV11" s="13" vm="1410">
        <f ca="1"/>
        <v>369.2</v>
      </c>
      <c r="EW11" s="13" vm="1411">
        <f ca="1"/>
        <v>362.15</v>
      </c>
      <c r="EX11" s="13" vm="1392">
        <f ca="1"/>
        <v>359.5</v>
      </c>
      <c r="EY11" s="13" vm="1412">
        <f ca="1"/>
        <v>358.95</v>
      </c>
      <c r="EZ11" s="13" vm="1413">
        <f ca="1"/>
        <v>355.95</v>
      </c>
      <c r="FA11" s="13" vm="1414">
        <f ca="1"/>
        <v>338.9</v>
      </c>
      <c r="FB11" s="13" vm="1415">
        <f ca="1"/>
        <v>340.15</v>
      </c>
      <c r="FC11" s="13" vm="1416">
        <f ca="1"/>
        <v>341</v>
      </c>
      <c r="FD11" s="13" vm="1417">
        <f ca="1"/>
        <v>346.45</v>
      </c>
      <c r="FE11" s="13" vm="1344">
        <f ca="1"/>
        <v>352.25</v>
      </c>
      <c r="FF11" s="13" vm="1418">
        <f ca="1"/>
        <v>347.75</v>
      </c>
      <c r="FG11" s="13" vm="1419">
        <f ca="1"/>
        <v>347.8</v>
      </c>
      <c r="FH11" s="13" vm="1420">
        <f ca="1"/>
        <v>349</v>
      </c>
      <c r="FI11" s="13" vm="1421">
        <f ca="1"/>
        <v>352.5</v>
      </c>
      <c r="FJ11" s="13" vm="1422">
        <f ca="1"/>
        <v>353.45</v>
      </c>
      <c r="FK11" s="13" vm="1423">
        <f ca="1"/>
        <v>349.4</v>
      </c>
      <c r="FL11" s="13" vm="1424">
        <f ca="1"/>
        <v>351.85</v>
      </c>
      <c r="FM11" s="13" vm="1425">
        <f ca="1"/>
        <v>356.4</v>
      </c>
      <c r="FN11" s="13" vm="1426">
        <f ca="1"/>
        <v>358.2</v>
      </c>
      <c r="FO11" s="13" vm="1427">
        <f ca="1"/>
        <v>356.15</v>
      </c>
      <c r="FP11" s="13" vm="1388">
        <f ca="1"/>
        <v>364.3</v>
      </c>
      <c r="FQ11" s="13" vm="1428">
        <f ca="1"/>
        <v>366.1</v>
      </c>
      <c r="FR11" s="13" vm="1429">
        <f ca="1"/>
        <v>362.3</v>
      </c>
      <c r="FS11" s="13" vm="1392">
        <f ca="1"/>
        <v>359.5</v>
      </c>
      <c r="FT11" s="13" vm="1430">
        <f ca="1"/>
        <v>360.45</v>
      </c>
      <c r="FU11" s="13" vm="1431">
        <f ca="1"/>
        <v>365.75</v>
      </c>
      <c r="FV11" s="13" vm="1432">
        <f ca="1"/>
        <v>373.7</v>
      </c>
      <c r="FW11" s="13" vm="1433">
        <f ca="1"/>
        <v>376.6</v>
      </c>
      <c r="FX11" s="13" vm="1361">
        <f ca="1"/>
        <v>372.1</v>
      </c>
      <c r="FY11" s="13" vm="1434">
        <f ca="1"/>
        <v>377.15</v>
      </c>
      <c r="FZ11" s="13" vm="1435">
        <f ca="1"/>
        <v>380.5</v>
      </c>
      <c r="GA11" s="13" vm="1436">
        <f ca="1"/>
        <v>385.2</v>
      </c>
      <c r="GB11" s="13" vm="1437">
        <f ca="1"/>
        <v>380.4</v>
      </c>
      <c r="GC11" s="13" vm="1438">
        <f ca="1"/>
        <v>382.15</v>
      </c>
      <c r="GD11" s="13" vm="1439">
        <f ca="1"/>
        <v>385.1</v>
      </c>
      <c r="GE11" s="13" vm="1440">
        <f ca="1"/>
        <v>405.9</v>
      </c>
      <c r="GF11" s="13" vm="1441">
        <f ca="1"/>
        <v>417</v>
      </c>
      <c r="GG11" s="13" vm="1442">
        <f ca="1"/>
        <v>411.15</v>
      </c>
      <c r="GH11" s="13" vm="1443">
        <f ca="1"/>
        <v>420.95</v>
      </c>
      <c r="GI11" s="13" vm="1444">
        <f ca="1"/>
        <v>421.6</v>
      </c>
      <c r="GJ11" s="13" vm="1445">
        <f ca="1"/>
        <v>410.1</v>
      </c>
      <c r="GK11" s="13" vm="1446">
        <f ca="1"/>
        <v>395.15</v>
      </c>
      <c r="GL11" s="13" vm="1447">
        <f ca="1"/>
        <v>396.85</v>
      </c>
      <c r="GM11" s="13" vm="1448">
        <f ca="1"/>
        <v>395.25</v>
      </c>
      <c r="GN11" s="13" vm="1449">
        <f ca="1"/>
        <v>393.25</v>
      </c>
      <c r="GO11" s="13" vm="1450">
        <f ca="1"/>
        <v>398.45</v>
      </c>
      <c r="GP11" s="13" vm="1451">
        <f ca="1"/>
        <v>399.65</v>
      </c>
      <c r="GQ11" s="13" vm="1452">
        <f ca="1"/>
        <v>398.35</v>
      </c>
      <c r="GR11" s="13" vm="1453">
        <f ca="1"/>
        <v>394.5</v>
      </c>
      <c r="GS11" s="13" vm="1454">
        <f ca="1"/>
        <v>399</v>
      </c>
      <c r="GT11" s="13" vm="1455">
        <f ca="1"/>
        <v>410</v>
      </c>
      <c r="GU11" s="13" vm="1456">
        <f ca="1"/>
        <v>388.35</v>
      </c>
      <c r="GV11" s="13" vm="1457">
        <f ca="1"/>
        <v>392.65</v>
      </c>
      <c r="GW11" s="13" vm="1458">
        <f ca="1"/>
        <v>383.8</v>
      </c>
      <c r="GX11" s="13" vm="1459">
        <f ca="1"/>
        <v>383.65</v>
      </c>
      <c r="GY11" s="13" vm="1460">
        <f ca="1"/>
        <v>379.15</v>
      </c>
      <c r="GZ11" s="13" vm="1461">
        <f ca="1"/>
        <v>381.75</v>
      </c>
      <c r="HA11" s="13" vm="1462">
        <f ca="1"/>
        <v>386.35</v>
      </c>
      <c r="HB11" s="13" vm="1463">
        <f ca="1"/>
        <v>390.65</v>
      </c>
      <c r="HC11" s="13" vm="1464">
        <f ca="1"/>
        <v>384.9</v>
      </c>
      <c r="HD11" s="13" vm="1465">
        <f ca="1"/>
        <v>386.1</v>
      </c>
      <c r="HE11" s="13" vm="1466">
        <f ca="1"/>
        <v>392.25</v>
      </c>
      <c r="HF11" s="13" vm="1467">
        <f ca="1"/>
        <v>398.55</v>
      </c>
      <c r="HG11" s="13" vm="1468">
        <f ca="1"/>
        <v>399.3</v>
      </c>
      <c r="HH11" s="13" vm="1469">
        <f ca="1"/>
        <v>401.55</v>
      </c>
      <c r="HI11" s="13" vm="1452">
        <f ca="1"/>
        <v>398.35</v>
      </c>
      <c r="HJ11" s="13" vm="1470">
        <f ca="1"/>
        <v>395.45</v>
      </c>
      <c r="HK11" s="13" vm="1471">
        <f ca="1"/>
        <v>390.4</v>
      </c>
      <c r="HL11" s="13" vm="1471">
        <f ca="1"/>
        <v>390.4</v>
      </c>
      <c r="HM11" s="13" vm="1472">
        <f ca="1"/>
        <v>393.9</v>
      </c>
      <c r="HN11" s="13" vm="1473">
        <f ca="1"/>
        <v>387.75</v>
      </c>
      <c r="HO11" s="13" vm="1474">
        <f ca="1"/>
        <v>392.95</v>
      </c>
      <c r="HP11" s="13" vm="1475">
        <f ca="1"/>
        <v>391.35</v>
      </c>
      <c r="HQ11" s="13" vm="1476">
        <f ca="1"/>
        <v>385.15</v>
      </c>
      <c r="HR11" s="13" vm="1477">
        <f ca="1"/>
        <v>387.05</v>
      </c>
      <c r="HS11" s="13" vm="516">
        <f ca="1"/>
        <v>377.95</v>
      </c>
      <c r="HT11" s="13" vm="1478">
        <f ca="1"/>
        <v>379.6</v>
      </c>
      <c r="HU11" s="13" vm="1479">
        <f ca="1"/>
        <v>371.8</v>
      </c>
      <c r="HV11" s="13" vm="1480">
        <f ca="1"/>
        <v>377.3</v>
      </c>
      <c r="HW11" s="13" vm="1481">
        <f ca="1"/>
        <v>379</v>
      </c>
      <c r="HX11" s="13" vm="1482">
        <f ca="1"/>
        <v>377.65</v>
      </c>
      <c r="HY11" s="13" vm="1483">
        <f ca="1"/>
        <v>376.05</v>
      </c>
      <c r="HZ11" s="13" vm="1484">
        <f ca="1"/>
        <v>366.85</v>
      </c>
      <c r="IA11" s="13" vm="1485">
        <f ca="1"/>
        <v>364.85</v>
      </c>
      <c r="IB11" s="13" vm="1486">
        <f ca="1"/>
        <v>373</v>
      </c>
      <c r="IC11" s="13" vm="1487">
        <f ca="1"/>
        <v>366.2</v>
      </c>
      <c r="ID11" s="13" vm="1488">
        <f ca="1"/>
        <v>365.25</v>
      </c>
      <c r="IE11" s="13" vm="1489">
        <f ca="1"/>
        <v>370.5</v>
      </c>
      <c r="IF11" s="13" vm="1490">
        <f ca="1"/>
        <v>365.3</v>
      </c>
      <c r="IG11" s="13" vm="1491">
        <f ca="1"/>
        <v>366.8</v>
      </c>
      <c r="IH11" s="13" vm="1492">
        <f ca="1"/>
        <v>368.2</v>
      </c>
      <c r="II11" s="13" vm="1493">
        <f ca="1"/>
        <v>370.15</v>
      </c>
      <c r="IJ11" s="13" vm="1494">
        <f ca="1"/>
        <v>372.3</v>
      </c>
      <c r="IK11" s="13" vm="1358">
        <f ca="1"/>
        <v>368.55</v>
      </c>
      <c r="IL11" s="13" vm="1495">
        <f ca="1"/>
        <v>367.8</v>
      </c>
      <c r="IM11" s="13" vm="1496">
        <f ca="1"/>
        <v>365.4</v>
      </c>
      <c r="IN11" s="13" vm="1497">
        <f ca="1"/>
        <v>373.95</v>
      </c>
      <c r="IO11" s="13" vm="1498">
        <f ca="1"/>
        <v>371.05</v>
      </c>
      <c r="IP11" s="13" vm="1499">
        <f ca="1"/>
        <v>375.2</v>
      </c>
      <c r="IQ11" s="13" vm="1500">
        <f ca="1"/>
        <v>375.05</v>
      </c>
      <c r="IR11" s="13" vm="516">
        <f ca="1"/>
        <v>377.95</v>
      </c>
      <c r="IS11" s="13" vm="1501">
        <f ca="1"/>
        <v>380.35</v>
      </c>
      <c r="IT11" s="13" vm="1502">
        <f ca="1"/>
        <v>379.35</v>
      </c>
      <c r="IU11" s="13" vm="1503">
        <f ca="1"/>
        <v>378.95</v>
      </c>
      <c r="IV11" s="13" vm="1504">
        <f ca="1"/>
        <v>382.65</v>
      </c>
      <c r="IW11" s="13" vm="1505">
        <f ca="1"/>
        <v>383.95</v>
      </c>
    </row>
    <row r="12" spans="2:257" x14ac:dyDescent="0.4">
      <c r="B12" s="13" t="e" vm="1506">
        <v>#VALUE!</v>
      </c>
      <c r="C12" s="13" t="str">
        <f ca="1"/>
        <v>Personal &amp; Household Products &amp; Services</v>
      </c>
      <c r="D12" s="13">
        <v>22</v>
      </c>
      <c r="E12" s="23">
        <f ca="1"/>
        <v>2314.5</v>
      </c>
      <c r="F12" s="23">
        <f ca="1"/>
        <v>50919</v>
      </c>
      <c r="G12" s="23">
        <f ca="1"/>
        <v>774.399999999996</v>
      </c>
      <c r="H12" s="24">
        <f ca="1"/>
        <v>1.5443337866888876E-2</v>
      </c>
      <c r="I12" s="23">
        <f ca="1"/>
        <v>-2387</v>
      </c>
      <c r="L12" s="13" cm="1" vm="1507">
        <f t="array" aca="1" ref="L12:IW12" ca="1">TRANSPOSE(_xlfn.STOCKHISTORY(B12,TODAY()-365,TODAY(),0,0,1))</f>
        <v>2204.8471</v>
      </c>
      <c r="M12" s="13" vm="1508">
        <f ca="1"/>
        <v>2222.4056</v>
      </c>
      <c r="N12" s="13" vm="1509">
        <f ca="1"/>
        <v>2208.29</v>
      </c>
      <c r="O12" s="13" vm="1510">
        <f ca="1"/>
        <v>2154.4832000000001</v>
      </c>
      <c r="P12" s="13" vm="1511">
        <f ca="1"/>
        <v>2141.3020000000001</v>
      </c>
      <c r="Q12" s="13" vm="1512">
        <f ca="1"/>
        <v>2122.1205</v>
      </c>
      <c r="R12" s="13" vm="1513">
        <f ca="1"/>
        <v>2135.0066000000002</v>
      </c>
      <c r="S12" s="13" vm="1514">
        <f ca="1"/>
        <v>2182.7145</v>
      </c>
      <c r="T12" s="13" vm="1515">
        <f ca="1"/>
        <v>2168.5497</v>
      </c>
      <c r="U12" s="13" vm="1516">
        <f ca="1"/>
        <v>2211.0441999999998</v>
      </c>
      <c r="V12" s="13" vm="1517">
        <f ca="1"/>
        <v>2180.7471999999998</v>
      </c>
      <c r="W12" s="13" vm="1518">
        <f ca="1"/>
        <v>2157.0898999999999</v>
      </c>
      <c r="X12" s="13" vm="1519">
        <f ca="1"/>
        <v>2139.2855</v>
      </c>
      <c r="Y12" s="13" vm="1520">
        <f ca="1"/>
        <v>2135.7935000000002</v>
      </c>
      <c r="Z12" s="13" vm="1521">
        <f ca="1"/>
        <v>2165.4511000000002</v>
      </c>
      <c r="AA12" s="13" vm="1522">
        <f ca="1"/>
        <v>2164.1232</v>
      </c>
      <c r="AB12" s="13" vm="1523">
        <f ca="1"/>
        <v>2205.7815999999998</v>
      </c>
      <c r="AC12" s="13" vm="1524">
        <f ca="1"/>
        <v>2209.5196000000001</v>
      </c>
      <c r="AD12" s="13" vm="1525">
        <f ca="1"/>
        <v>2219.3562999999999</v>
      </c>
      <c r="AE12" s="13" vm="1526">
        <f ca="1"/>
        <v>2234.2096999999999</v>
      </c>
      <c r="AF12" s="13" vm="1527">
        <f ca="1"/>
        <v>2209.2736</v>
      </c>
      <c r="AG12" s="13" vm="1528">
        <f ca="1"/>
        <v>2207.9949000000001</v>
      </c>
      <c r="AH12" s="13" vm="1529">
        <f ca="1"/>
        <v>2221.9630000000002</v>
      </c>
      <c r="AI12" s="13" vm="1530">
        <f ca="1"/>
        <v>2197.3712</v>
      </c>
      <c r="AJ12" s="13" vm="1531">
        <f ca="1"/>
        <v>2201.3551000000002</v>
      </c>
      <c r="AK12" s="13" vm="1532">
        <f ca="1"/>
        <v>2207.8964999999998</v>
      </c>
      <c r="AL12" s="13" vm="1532">
        <f ca="1"/>
        <v>2207.8964999999998</v>
      </c>
      <c r="AM12" s="13" vm="1533">
        <f ca="1"/>
        <v>2212.6673000000001</v>
      </c>
      <c r="AN12" s="13" vm="1534">
        <f ca="1"/>
        <v>2251.8665000000001</v>
      </c>
      <c r="AO12" s="13" vm="1535">
        <f ca="1"/>
        <v>2311.6244999999999</v>
      </c>
      <c r="AP12" s="13" vm="1536">
        <f ca="1"/>
        <v>2327.5108</v>
      </c>
      <c r="AQ12" s="13" vm="1537">
        <f ca="1"/>
        <v>2322.9367000000002</v>
      </c>
      <c r="AR12" s="13" vm="1538">
        <f ca="1"/>
        <v>2327.9533999999999</v>
      </c>
      <c r="AS12" s="13" vm="1539">
        <f ca="1"/>
        <v>2336.2163</v>
      </c>
      <c r="AT12" s="13" vm="1540">
        <f ca="1"/>
        <v>2312.6082000000001</v>
      </c>
      <c r="AU12" s="13" vm="1541">
        <f ca="1"/>
        <v>2359.5291999999999</v>
      </c>
      <c r="AV12" s="13" vm="1542">
        <f ca="1"/>
        <v>2384.2193000000002</v>
      </c>
      <c r="AW12" s="13" vm="1543">
        <f ca="1"/>
        <v>2287.3279000000002</v>
      </c>
      <c r="AX12" s="13" vm="1544">
        <f ca="1"/>
        <v>2294.1152000000002</v>
      </c>
      <c r="AY12" s="13" vm="1545">
        <f ca="1"/>
        <v>2280.7372999999998</v>
      </c>
      <c r="AZ12" s="13" vm="1546">
        <f ca="1"/>
        <v>2283.7865999999999</v>
      </c>
      <c r="BA12" s="13" vm="1547">
        <f ca="1"/>
        <v>2303.8535000000002</v>
      </c>
      <c r="BB12" s="13" vm="1548">
        <f ca="1"/>
        <v>2285.9506999999999</v>
      </c>
      <c r="BC12" s="13" vm="1549">
        <f ca="1"/>
        <v>2310.2474000000002</v>
      </c>
      <c r="BD12" s="13" vm="1550">
        <f ca="1"/>
        <v>2342.9052000000001</v>
      </c>
      <c r="BE12" s="13" vm="1551">
        <f ca="1"/>
        <v>2332.0848000000001</v>
      </c>
      <c r="BF12" s="13" vm="1552">
        <f ca="1"/>
        <v>2316.4445000000001</v>
      </c>
      <c r="BG12" s="13" vm="1553">
        <f ca="1"/>
        <v>2294.8036999999999</v>
      </c>
      <c r="BH12" s="13" vm="1554">
        <f ca="1"/>
        <v>2343.5938000000001</v>
      </c>
      <c r="BI12" s="13" vm="1555">
        <f ca="1"/>
        <v>2321.4612000000002</v>
      </c>
      <c r="BJ12" s="13" vm="1556">
        <f ca="1"/>
        <v>2312.1163000000001</v>
      </c>
      <c r="BK12" s="13" vm="1557">
        <f ca="1"/>
        <v>2316.7395999999999</v>
      </c>
      <c r="BL12" s="13" vm="1558">
        <f ca="1"/>
        <v>2342.5117</v>
      </c>
      <c r="BM12" s="13" vm="1559">
        <f ca="1"/>
        <v>2343.7905000000001</v>
      </c>
      <c r="BN12" s="13" vm="1560">
        <f ca="1"/>
        <v>2302.8697999999999</v>
      </c>
      <c r="BO12" s="13" vm="1561">
        <f ca="1"/>
        <v>2325.2975000000001</v>
      </c>
      <c r="BP12" s="13" vm="1562">
        <f ca="1"/>
        <v>2292.6397000000002</v>
      </c>
      <c r="BQ12" s="13" vm="1563">
        <f ca="1"/>
        <v>2320.6743000000001</v>
      </c>
      <c r="BR12" s="13" vm="1564">
        <f ca="1"/>
        <v>2355.0043000000001</v>
      </c>
      <c r="BS12" s="13" vm="1565">
        <f ca="1"/>
        <v>2341.3312999999998</v>
      </c>
      <c r="BT12" s="13" vm="1566">
        <f ca="1"/>
        <v>2323.4285</v>
      </c>
      <c r="BU12" s="13" vm="1567">
        <f ca="1"/>
        <v>2328.0518000000002</v>
      </c>
      <c r="BV12" s="13" vm="1568">
        <f ca="1"/>
        <v>2309.9522999999999</v>
      </c>
      <c r="BW12" s="13" vm="1569">
        <f ca="1"/>
        <v>2332.8717999999999</v>
      </c>
      <c r="BX12" s="13" vm="1570">
        <f ca="1"/>
        <v>2313.8869</v>
      </c>
      <c r="BY12" s="13" vm="1571">
        <f ca="1"/>
        <v>2325.8877000000002</v>
      </c>
      <c r="BZ12" s="13" vm="1572">
        <f ca="1"/>
        <v>2337.5934000000002</v>
      </c>
      <c r="CA12" s="13" vm="1573">
        <f ca="1"/>
        <v>2350.7746000000002</v>
      </c>
      <c r="CB12" s="13" vm="1574">
        <f ca="1"/>
        <v>2354.1190000000001</v>
      </c>
      <c r="CC12" s="13" vm="1575">
        <f ca="1"/>
        <v>2356.0864000000001</v>
      </c>
      <c r="CD12" s="13" vm="1572">
        <f ca="1"/>
        <v>2337.5934000000002</v>
      </c>
      <c r="CE12" s="13" vm="1576">
        <f ca="1"/>
        <v>2294.607</v>
      </c>
      <c r="CF12" s="13" vm="1577">
        <f ca="1"/>
        <v>2281.1307000000002</v>
      </c>
      <c r="CG12" s="13" vm="1578">
        <f ca="1"/>
        <v>2289.3935999999999</v>
      </c>
      <c r="CH12" s="13" vm="1579">
        <f ca="1"/>
        <v>2290.5740000000001</v>
      </c>
      <c r="CI12" s="13" vm="1580">
        <f ca="1"/>
        <v>2259.7851000000001</v>
      </c>
      <c r="CJ12" s="13" vm="1581">
        <f ca="1"/>
        <v>2256.7357000000002</v>
      </c>
      <c r="CK12" s="13" vm="1582">
        <f ca="1"/>
        <v>2268.5398</v>
      </c>
      <c r="CL12" s="13" vm="1583">
        <f ca="1"/>
        <v>2237.9476</v>
      </c>
      <c r="CM12" s="13" vm="1584">
        <f ca="1"/>
        <v>2226.1435999999999</v>
      </c>
      <c r="CN12" s="13" vm="1585">
        <f ca="1"/>
        <v>2241.4888000000001</v>
      </c>
      <c r="CO12" s="13" vm="1586">
        <f ca="1"/>
        <v>2243.5545000000002</v>
      </c>
      <c r="CP12" s="13" vm="1587">
        <f ca="1"/>
        <v>2269.2283000000002</v>
      </c>
      <c r="CQ12" s="13" vm="1588">
        <f ca="1"/>
        <v>2257.1291999999999</v>
      </c>
      <c r="CR12" s="13" vm="1589">
        <f ca="1"/>
        <v>2258.0145000000002</v>
      </c>
      <c r="CS12" s="13" vm="1590">
        <f ca="1"/>
        <v>2269.4250999999999</v>
      </c>
      <c r="CT12" s="13" vm="1591">
        <f ca="1"/>
        <v>2275.6221999999998</v>
      </c>
      <c r="CU12" s="13" vm="1592">
        <f ca="1"/>
        <v>2301.0992000000001</v>
      </c>
      <c r="CV12" s="13" vm="1593">
        <f ca="1"/>
        <v>2371.0382</v>
      </c>
      <c r="CW12" s="13" vm="1594">
        <f ca="1"/>
        <v>2353.6271999999999</v>
      </c>
      <c r="CX12" s="13" vm="1595">
        <f ca="1"/>
        <v>2383.8258999999998</v>
      </c>
      <c r="CY12" s="13" vm="1596">
        <f ca="1"/>
        <v>2369.0708</v>
      </c>
      <c r="CZ12" s="13" vm="1597">
        <f ca="1"/>
        <v>2478.4549000000002</v>
      </c>
      <c r="DA12" s="13" vm="1598">
        <f ca="1"/>
        <v>2475.5039000000002</v>
      </c>
      <c r="DB12" s="13" vm="1599">
        <f ca="1"/>
        <v>2485.6356999999998</v>
      </c>
      <c r="DC12" s="13" vm="1600">
        <f ca="1"/>
        <v>2476.4875999999999</v>
      </c>
      <c r="DD12" s="13" vm="1601">
        <f ca="1"/>
        <v>2468.8150000000001</v>
      </c>
      <c r="DE12" s="13" vm="1602">
        <f ca="1"/>
        <v>2448.9448000000002</v>
      </c>
      <c r="DF12" s="13" vm="1603">
        <f ca="1"/>
        <v>2424.6482000000001</v>
      </c>
      <c r="DG12" s="13" vm="1604">
        <f ca="1"/>
        <v>2439.2064999999998</v>
      </c>
      <c r="DH12" s="13" vm="1605">
        <f ca="1"/>
        <v>2410.3850000000002</v>
      </c>
      <c r="DI12" s="13" vm="1606">
        <f ca="1"/>
        <v>2397.9906999999998</v>
      </c>
      <c r="DJ12" s="13" vm="1607">
        <f ca="1"/>
        <v>2375.9564999999998</v>
      </c>
      <c r="DK12" s="13" vm="1608">
        <f ca="1"/>
        <v>2401.7287000000001</v>
      </c>
      <c r="DL12" s="13" vm="1609">
        <f ca="1"/>
        <v>2413.5327000000002</v>
      </c>
      <c r="DM12" s="13" vm="1610">
        <f ca="1"/>
        <v>2397.5972999999999</v>
      </c>
      <c r="DN12" s="13" vm="1611">
        <f ca="1"/>
        <v>2480.0288</v>
      </c>
      <c r="DO12" s="13" vm="1612">
        <f ca="1"/>
        <v>2511.9980999999998</v>
      </c>
      <c r="DP12" s="13" vm="1613">
        <f ca="1"/>
        <v>2502.1614</v>
      </c>
      <c r="DQ12" s="13" vm="1614">
        <f ca="1"/>
        <v>2493.3083000000001</v>
      </c>
      <c r="DR12" s="13" vm="1615">
        <f ca="1"/>
        <v>2494.1936999999998</v>
      </c>
      <c r="DS12" s="13" vm="1616">
        <f ca="1"/>
        <v>2476.3892000000001</v>
      </c>
      <c r="DT12" s="13" vm="1617">
        <f ca="1"/>
        <v>2457.7979</v>
      </c>
      <c r="DU12" s="13" vm="1618">
        <f ca="1"/>
        <v>2477.2745</v>
      </c>
      <c r="DV12" s="13" vm="1619">
        <f ca="1"/>
        <v>2443.2395000000001</v>
      </c>
      <c r="DW12" s="13" vm="1620">
        <f ca="1"/>
        <v>2454.355</v>
      </c>
      <c r="DX12" s="13" vm="1621">
        <f ca="1"/>
        <v>2440.0918000000001</v>
      </c>
      <c r="DY12" s="13" vm="1622">
        <f ca="1"/>
        <v>2526.1628999999998</v>
      </c>
      <c r="DZ12" s="13" vm="1623">
        <f ca="1"/>
        <v>2562.2636000000002</v>
      </c>
      <c r="EA12" s="13" vm="1624">
        <f ca="1"/>
        <v>2626.2022000000002</v>
      </c>
      <c r="EB12" s="13" vm="1625">
        <f ca="1"/>
        <v>2604.7582000000002</v>
      </c>
      <c r="EC12" s="13" vm="1626">
        <f ca="1"/>
        <v>2586.9537</v>
      </c>
      <c r="ED12" s="13" vm="1627">
        <f ca="1"/>
        <v>2588.6260000000002</v>
      </c>
      <c r="EE12" s="13" vm="1628">
        <f ca="1"/>
        <v>2648.6298000000002</v>
      </c>
      <c r="EF12" s="13" vm="1629">
        <f ca="1"/>
        <v>2611.0536000000002</v>
      </c>
      <c r="EG12" s="13" vm="1630">
        <f ca="1"/>
        <v>2616.3654999999999</v>
      </c>
      <c r="EH12" s="13" vm="1631">
        <f ca="1"/>
        <v>2606.2337000000002</v>
      </c>
      <c r="EI12" s="13" vm="1632">
        <f ca="1"/>
        <v>2633.2846</v>
      </c>
      <c r="EJ12" s="13" vm="1633">
        <f ca="1"/>
        <v>2621.1853999999998</v>
      </c>
      <c r="EK12" s="13" vm="1634">
        <f ca="1"/>
        <v>2623.0544</v>
      </c>
      <c r="EL12" s="13" vm="1635">
        <f ca="1"/>
        <v>2590.3966</v>
      </c>
      <c r="EM12" s="13" vm="1636">
        <f ca="1"/>
        <v>2581.0517</v>
      </c>
      <c r="EN12" s="13" vm="1637">
        <f ca="1"/>
        <v>2598.8561</v>
      </c>
      <c r="EO12" s="13" vm="1638">
        <f ca="1"/>
        <v>2600.3316</v>
      </c>
      <c r="EP12" s="13" vm="1639">
        <f ca="1"/>
        <v>2579.1826999999998</v>
      </c>
      <c r="EQ12" s="13" vm="1640">
        <f ca="1"/>
        <v>2538.3604</v>
      </c>
      <c r="ER12" s="13" vm="1641">
        <f ca="1"/>
        <v>2538.8523</v>
      </c>
      <c r="ES12" s="13" vm="1642">
        <f ca="1"/>
        <v>2538.7539000000002</v>
      </c>
      <c r="ET12" s="13" vm="1643">
        <f ca="1"/>
        <v>2527.7368000000001</v>
      </c>
      <c r="EU12" s="13" vm="1644">
        <f ca="1"/>
        <v>2544.5576000000001</v>
      </c>
      <c r="EV12" s="13" vm="1645">
        <f ca="1"/>
        <v>2517.8017</v>
      </c>
      <c r="EW12" s="13" vm="1646">
        <f ca="1"/>
        <v>2530.1959999999999</v>
      </c>
      <c r="EX12" s="13" vm="1647">
        <f ca="1"/>
        <v>2481.0124999999998</v>
      </c>
      <c r="EY12" s="13" vm="1648">
        <f ca="1"/>
        <v>2507.8667</v>
      </c>
      <c r="EZ12" s="13" vm="1649">
        <f ca="1"/>
        <v>2496.8496</v>
      </c>
      <c r="FA12" s="13" vm="1650">
        <f ca="1"/>
        <v>2470.7822999999999</v>
      </c>
      <c r="FB12" s="13" vm="1651">
        <f ca="1"/>
        <v>2457.1093000000001</v>
      </c>
      <c r="FC12" s="13" vm="1652">
        <f ca="1"/>
        <v>2473.3398000000002</v>
      </c>
      <c r="FD12" s="13" vm="1653">
        <f ca="1"/>
        <v>2494.7838999999999</v>
      </c>
      <c r="FE12" s="13" vm="1654">
        <f ca="1"/>
        <v>2503.3418000000001</v>
      </c>
      <c r="FF12" s="13" vm="1655">
        <f ca="1"/>
        <v>2500.2923999999998</v>
      </c>
      <c r="FG12" s="13" vm="1656">
        <f ca="1"/>
        <v>2476.0940999999998</v>
      </c>
      <c r="FH12" s="13" vm="1657">
        <f ca="1"/>
        <v>2459.2734</v>
      </c>
      <c r="FI12" s="13" vm="1600">
        <f ca="1"/>
        <v>2476.4875999999999</v>
      </c>
      <c r="FJ12" s="13" vm="1658">
        <f ca="1"/>
        <v>2487.6030999999998</v>
      </c>
      <c r="FK12" s="13" vm="1659">
        <f ca="1"/>
        <v>2452.0925999999999</v>
      </c>
      <c r="FL12" s="13" vm="1660">
        <f ca="1"/>
        <v>2461.4373999999998</v>
      </c>
      <c r="FM12" s="13" vm="1661">
        <f ca="1"/>
        <v>2477.8647000000001</v>
      </c>
      <c r="FN12" s="13" vm="1662">
        <f ca="1"/>
        <v>2519.6707000000001</v>
      </c>
      <c r="FO12" s="13" vm="1663">
        <f ca="1"/>
        <v>2561.1815999999999</v>
      </c>
      <c r="FP12" s="13" vm="1664">
        <f ca="1"/>
        <v>2552.0333999999998</v>
      </c>
      <c r="FQ12" s="13" vm="1665">
        <f ca="1"/>
        <v>2549.3775000000001</v>
      </c>
      <c r="FR12" s="13" vm="1666">
        <f ca="1"/>
        <v>2559.1158999999998</v>
      </c>
      <c r="FS12" s="13" vm="1667">
        <f ca="1"/>
        <v>2475.3072000000002</v>
      </c>
      <c r="FT12" s="13" vm="1650">
        <f ca="1"/>
        <v>2470.7822999999999</v>
      </c>
      <c r="FU12" s="13" vm="1668">
        <f ca="1"/>
        <v>2456.3224</v>
      </c>
      <c r="FV12" s="13" vm="1669">
        <f ca="1"/>
        <v>2447.4693000000002</v>
      </c>
      <c r="FW12" s="13" vm="1670">
        <f ca="1"/>
        <v>2429.2714000000001</v>
      </c>
      <c r="FX12" s="13" vm="1671">
        <f ca="1"/>
        <v>2425.2384000000002</v>
      </c>
      <c r="FY12" s="13" vm="1672">
        <f ca="1"/>
        <v>2419.8281999999999</v>
      </c>
      <c r="FZ12" s="13" vm="1673">
        <f ca="1"/>
        <v>2405.7617</v>
      </c>
      <c r="GA12" s="13" vm="1674">
        <f ca="1"/>
        <v>2396.2201</v>
      </c>
      <c r="GB12" s="13" vm="1675">
        <f ca="1"/>
        <v>2374.5794000000001</v>
      </c>
      <c r="GC12" s="13" vm="1676">
        <f ca="1"/>
        <v>2369.4643000000001</v>
      </c>
      <c r="GD12" s="13" vm="1677">
        <f ca="1"/>
        <v>2387.8589000000002</v>
      </c>
      <c r="GE12" s="13" vm="1678">
        <f ca="1"/>
        <v>2384.9079000000002</v>
      </c>
      <c r="GF12" s="13" vm="1679">
        <f ca="1"/>
        <v>2368.2838999999999</v>
      </c>
      <c r="GG12" s="13" vm="1680">
        <f ca="1"/>
        <v>2388.0556999999999</v>
      </c>
      <c r="GH12" s="13" vm="1681">
        <f ca="1"/>
        <v>2385.3998000000001</v>
      </c>
      <c r="GI12" s="13" vm="1682">
        <f ca="1"/>
        <v>2364.7426999999998</v>
      </c>
      <c r="GJ12" s="13" vm="1608">
        <f ca="1"/>
        <v>2401.7287000000001</v>
      </c>
      <c r="GK12" s="13" vm="1683">
        <f ca="1"/>
        <v>2388.7442000000001</v>
      </c>
      <c r="GL12" s="13" vm="1684">
        <f ca="1"/>
        <v>2393.9576999999999</v>
      </c>
      <c r="GM12" s="13" vm="1685">
        <f ca="1"/>
        <v>2384.6127999999999</v>
      </c>
      <c r="GN12" s="13" vm="1686">
        <f ca="1"/>
        <v>2374.6777000000002</v>
      </c>
      <c r="GO12" s="13" vm="1687">
        <f ca="1"/>
        <v>2385.5965000000001</v>
      </c>
      <c r="GP12" s="13" vm="1688">
        <f ca="1"/>
        <v>2411.6637000000001</v>
      </c>
      <c r="GQ12" s="13" vm="1689">
        <f ca="1"/>
        <v>2426.3204000000001</v>
      </c>
      <c r="GR12" s="13" vm="1690">
        <f ca="1"/>
        <v>2424.2547</v>
      </c>
      <c r="GS12" s="13" vm="1691">
        <f ca="1"/>
        <v>2437.3375000000001</v>
      </c>
      <c r="GT12" s="13" vm="1692">
        <f ca="1"/>
        <v>2408.0241999999998</v>
      </c>
      <c r="GU12" s="13" vm="1693">
        <f ca="1"/>
        <v>2421.9922999999999</v>
      </c>
      <c r="GV12" s="13" vm="1694">
        <f ca="1"/>
        <v>2338.6</v>
      </c>
      <c r="GW12" s="13" vm="1695">
        <f ca="1"/>
        <v>2314</v>
      </c>
      <c r="GX12" s="13" vm="1696">
        <f ca="1"/>
        <v>2306.5</v>
      </c>
      <c r="GY12" s="13" vm="1697">
        <f ca="1"/>
        <v>2301.6999999999998</v>
      </c>
      <c r="GZ12" s="13" vm="1698">
        <f ca="1"/>
        <v>2305.6</v>
      </c>
      <c r="HA12" s="13" vm="1699">
        <f ca="1"/>
        <v>2260.6</v>
      </c>
      <c r="HB12" s="13" vm="1700">
        <f ca="1"/>
        <v>2293.5</v>
      </c>
      <c r="HC12" s="13" vm="1701">
        <f ca="1"/>
        <v>2281.1</v>
      </c>
      <c r="HD12" s="13" vm="1702">
        <f ca="1"/>
        <v>2275.6</v>
      </c>
      <c r="HE12" s="13" vm="1703">
        <f ca="1"/>
        <v>2265.5</v>
      </c>
      <c r="HF12" s="13" vm="1704">
        <f ca="1"/>
        <v>2280</v>
      </c>
      <c r="HG12" s="13" vm="1705">
        <f ca="1"/>
        <v>2289.5</v>
      </c>
      <c r="HH12" s="13" vm="1706">
        <f ca="1"/>
        <v>2302.6</v>
      </c>
      <c r="HI12" s="13" vm="1707">
        <f ca="1"/>
        <v>2282.1999999999998</v>
      </c>
      <c r="HJ12" s="13" vm="1708">
        <f ca="1"/>
        <v>2285.4</v>
      </c>
      <c r="HK12" s="13" vm="1709">
        <f ca="1"/>
        <v>2293.3000000000002</v>
      </c>
      <c r="HL12" s="13" vm="1710">
        <f ca="1"/>
        <v>2290.1999999999998</v>
      </c>
      <c r="HM12" s="13" vm="1711">
        <f ca="1"/>
        <v>2315.9</v>
      </c>
      <c r="HN12" s="13" vm="1712">
        <f ca="1"/>
        <v>2323</v>
      </c>
      <c r="HO12" s="13" vm="1713">
        <f ca="1"/>
        <v>2348</v>
      </c>
      <c r="HP12" s="13" vm="1714">
        <f ca="1"/>
        <v>2384.1</v>
      </c>
      <c r="HQ12" s="13" vm="1715">
        <f ca="1"/>
        <v>2424.6999999999998</v>
      </c>
      <c r="HR12" s="13" vm="1716">
        <f ca="1"/>
        <v>2399.4</v>
      </c>
      <c r="HS12" s="13" vm="1717">
        <f ca="1"/>
        <v>2386.6999999999998</v>
      </c>
      <c r="HT12" s="13" vm="1718">
        <f ca="1"/>
        <v>2372.6</v>
      </c>
      <c r="HU12" s="13" vm="1719">
        <f ca="1"/>
        <v>2406.1999999999998</v>
      </c>
      <c r="HV12" s="13" vm="1720">
        <f ca="1"/>
        <v>2389.5</v>
      </c>
      <c r="HW12" s="13" vm="1721">
        <f ca="1"/>
        <v>2353.5</v>
      </c>
      <c r="HX12" s="13" vm="1722">
        <f ca="1"/>
        <v>2360.4</v>
      </c>
      <c r="HY12" s="13" vm="1723">
        <f ca="1"/>
        <v>2413.9</v>
      </c>
      <c r="HZ12" s="13" vm="1724">
        <f ca="1"/>
        <v>2379.1</v>
      </c>
      <c r="IA12" s="13" vm="1725">
        <f ca="1"/>
        <v>2368</v>
      </c>
      <c r="IB12" s="13" vm="1726">
        <f ca="1"/>
        <v>2390.6</v>
      </c>
      <c r="IC12" s="13" vm="1727">
        <f ca="1"/>
        <v>2409.5</v>
      </c>
      <c r="ID12" s="13" vm="1728">
        <f ca="1"/>
        <v>2400.9</v>
      </c>
      <c r="IE12" s="13" vm="1729">
        <f ca="1"/>
        <v>2378.4</v>
      </c>
      <c r="IF12" s="13" vm="1730">
        <f ca="1"/>
        <v>2352.6</v>
      </c>
      <c r="IG12" s="13" vm="1731">
        <f ca="1"/>
        <v>2373</v>
      </c>
      <c r="IH12" s="13" vm="1732">
        <f ca="1"/>
        <v>2350.6999999999998</v>
      </c>
      <c r="II12" s="13" vm="1733">
        <f ca="1"/>
        <v>2357.3000000000002</v>
      </c>
      <c r="IJ12" s="13" vm="1734">
        <f ca="1"/>
        <v>2368.6</v>
      </c>
      <c r="IK12" s="13" vm="1735">
        <f ca="1"/>
        <v>2371</v>
      </c>
      <c r="IL12" s="13" vm="1736">
        <f ca="1"/>
        <v>2354.4</v>
      </c>
      <c r="IM12" s="13" vm="1737">
        <f ca="1"/>
        <v>2424.1999999999998</v>
      </c>
      <c r="IN12" s="13" vm="1738">
        <f ca="1"/>
        <v>2435</v>
      </c>
      <c r="IO12" s="13" vm="1739">
        <f ca="1"/>
        <v>2453.6</v>
      </c>
      <c r="IP12" s="13" vm="1740">
        <f ca="1"/>
        <v>2462.9</v>
      </c>
      <c r="IQ12" s="13" vm="1741">
        <f ca="1"/>
        <v>2409.6999999999998</v>
      </c>
      <c r="IR12" s="13" vm="1742">
        <f ca="1"/>
        <v>2305.1999999999998</v>
      </c>
      <c r="IS12" s="13" vm="1743">
        <f ca="1"/>
        <v>2319</v>
      </c>
      <c r="IT12" s="13" vm="1744">
        <f ca="1"/>
        <v>2312.3000000000002</v>
      </c>
      <c r="IU12" s="13" vm="1745">
        <f ca="1"/>
        <v>2323.5</v>
      </c>
      <c r="IV12" s="13" vm="1746">
        <f ca="1"/>
        <v>2279.3000000000002</v>
      </c>
      <c r="IW12" s="13" vm="1747">
        <f ca="1"/>
        <v>2314.5</v>
      </c>
    </row>
    <row r="13" spans="2:257" x14ac:dyDescent="0.4">
      <c r="B13" s="13" t="e" vm="1748">
        <v>#VALUE!</v>
      </c>
      <c r="C13" s="13" t="str">
        <f ca="1"/>
        <v>Food &amp; Tobacco</v>
      </c>
      <c r="D13" s="13">
        <v>42</v>
      </c>
      <c r="E13" s="23">
        <f ca="1"/>
        <v>327</v>
      </c>
      <c r="F13" s="23">
        <f ca="1"/>
        <v>13734</v>
      </c>
      <c r="G13" s="23">
        <f ca="1"/>
        <v>52.5</v>
      </c>
      <c r="H13" s="24">
        <f ca="1"/>
        <v>3.8372985418265539E-3</v>
      </c>
      <c r="I13" s="23">
        <f ca="1"/>
        <v>392.70000000000073</v>
      </c>
      <c r="L13" s="13" cm="1" vm="1749">
        <f t="array" aca="1" ref="L13:IW13" ca="1">TRANSPOSE(_xlfn.STOCKHISTORY(B13,TODAY()-365,TODAY(),0,0,1))</f>
        <v>401.85</v>
      </c>
      <c r="M13" s="13" vm="1750">
        <f ca="1"/>
        <v>404.85</v>
      </c>
      <c r="N13" s="13" vm="1751">
        <f ca="1"/>
        <v>401.45</v>
      </c>
      <c r="O13" s="13" vm="1752">
        <f ca="1"/>
        <v>394.7</v>
      </c>
      <c r="P13" s="13" vm="1753">
        <f ca="1"/>
        <v>397.55</v>
      </c>
      <c r="Q13" s="13" vm="1754">
        <f ca="1"/>
        <v>394.85</v>
      </c>
      <c r="R13" s="13" vm="1755">
        <f ca="1"/>
        <v>405.35</v>
      </c>
      <c r="S13" s="13" vm="1756">
        <f ca="1"/>
        <v>405.75</v>
      </c>
      <c r="T13" s="13" vm="1757">
        <f ca="1"/>
        <v>403.8</v>
      </c>
      <c r="U13" s="13" vm="1758">
        <f ca="1"/>
        <v>405.05</v>
      </c>
      <c r="V13" s="13" vm="1759">
        <f ca="1"/>
        <v>406.1</v>
      </c>
      <c r="W13" s="13" vm="1760">
        <f ca="1"/>
        <v>412.1</v>
      </c>
      <c r="X13" s="13" vm="1761">
        <f ca="1"/>
        <v>411.85</v>
      </c>
      <c r="Y13" s="13" vm="1762">
        <f ca="1"/>
        <v>407.8</v>
      </c>
      <c r="Z13" s="13" vm="1763">
        <f ca="1"/>
        <v>409.4</v>
      </c>
      <c r="AA13" s="13" vm="1764">
        <f ca="1"/>
        <v>403.05</v>
      </c>
      <c r="AB13" s="13" vm="1765">
        <f ca="1"/>
        <v>403.7</v>
      </c>
      <c r="AC13" s="13" vm="1766">
        <f ca="1"/>
        <v>405.8</v>
      </c>
      <c r="AD13" s="13" vm="1767">
        <f ca="1"/>
        <v>410.95</v>
      </c>
      <c r="AE13" s="13" vm="1768">
        <f ca="1"/>
        <v>409.9</v>
      </c>
      <c r="AF13" s="13" vm="1769">
        <f ca="1"/>
        <v>407.05</v>
      </c>
      <c r="AG13" s="13" vm="1763">
        <f ca="1"/>
        <v>409.4</v>
      </c>
      <c r="AH13" s="13" vm="1770">
        <f ca="1"/>
        <v>409.8</v>
      </c>
      <c r="AI13" s="13" vm="1771">
        <f ca="1"/>
        <v>406.65</v>
      </c>
      <c r="AJ13" s="13" vm="1772">
        <f ca="1"/>
        <v>408.95</v>
      </c>
      <c r="AK13" s="13" vm="1773">
        <f ca="1"/>
        <v>409.3</v>
      </c>
      <c r="AL13" s="13" vm="1774">
        <f ca="1"/>
        <v>409.55</v>
      </c>
      <c r="AM13" s="13" vm="1775">
        <f ca="1"/>
        <v>406.05</v>
      </c>
      <c r="AN13" s="13" vm="1776">
        <f ca="1"/>
        <v>412.55</v>
      </c>
      <c r="AO13" s="13" vm="1777">
        <f ca="1"/>
        <v>416.15</v>
      </c>
      <c r="AP13" s="13" vm="1778">
        <f ca="1"/>
        <v>421.8</v>
      </c>
      <c r="AQ13" s="13" vm="1779">
        <f ca="1"/>
        <v>420.3</v>
      </c>
      <c r="AR13" s="13" vm="536">
        <f ca="1"/>
        <v>424.15</v>
      </c>
      <c r="AS13" s="13" vm="1780">
        <f ca="1"/>
        <v>427.25</v>
      </c>
      <c r="AT13" s="13" vm="1781">
        <f ca="1"/>
        <v>422.8</v>
      </c>
      <c r="AU13" s="13" vm="1782">
        <f ca="1"/>
        <v>433.7</v>
      </c>
      <c r="AV13" s="13" vm="1783">
        <f ca="1"/>
        <v>430.75</v>
      </c>
      <c r="AW13" s="13" vm="1784">
        <f ca="1"/>
        <v>430.1</v>
      </c>
      <c r="AX13" s="13" vm="1785">
        <f ca="1"/>
        <v>428.15</v>
      </c>
      <c r="AY13" s="13" vm="1786">
        <f ca="1"/>
        <v>428.8</v>
      </c>
      <c r="AZ13" s="13" vm="1787">
        <f ca="1"/>
        <v>425.9</v>
      </c>
      <c r="BA13" s="13" vm="1788">
        <f ca="1"/>
        <v>425.3</v>
      </c>
      <c r="BB13" s="13" vm="1789">
        <f ca="1"/>
        <v>430.15</v>
      </c>
      <c r="BC13" s="13" vm="1790">
        <f ca="1"/>
        <v>437.1</v>
      </c>
      <c r="BD13" s="13" vm="1791">
        <f ca="1"/>
        <v>435.65</v>
      </c>
      <c r="BE13" s="13" vm="1792">
        <f ca="1"/>
        <v>430.65</v>
      </c>
      <c r="BF13" s="13" vm="1793">
        <f ca="1"/>
        <v>430.35</v>
      </c>
      <c r="BG13" s="13" vm="1794">
        <f ca="1"/>
        <v>423.5</v>
      </c>
      <c r="BH13" s="13" vm="1795">
        <f ca="1"/>
        <v>435.5</v>
      </c>
      <c r="BI13" s="13" vm="1796">
        <f ca="1"/>
        <v>428.05</v>
      </c>
      <c r="BJ13" s="13" vm="1797">
        <f ca="1"/>
        <v>429.3</v>
      </c>
      <c r="BK13" s="13" vm="540">
        <f ca="1"/>
        <v>432.45</v>
      </c>
      <c r="BL13" s="13" vm="1798">
        <f ca="1"/>
        <v>435.6</v>
      </c>
      <c r="BM13" s="13" vm="1799">
        <f ca="1"/>
        <v>435.1</v>
      </c>
      <c r="BN13" s="13" vm="541">
        <f ca="1"/>
        <v>434.85</v>
      </c>
      <c r="BO13" s="13" vm="1800">
        <f ca="1"/>
        <v>432.95</v>
      </c>
      <c r="BP13" s="13" vm="522">
        <f ca="1"/>
        <v>426.1</v>
      </c>
      <c r="BQ13" s="13" vm="1801">
        <f ca="1"/>
        <v>436.3</v>
      </c>
      <c r="BR13" s="13" vm="1802">
        <f ca="1"/>
        <v>442.8</v>
      </c>
      <c r="BS13" s="13" vm="1803">
        <f ca="1"/>
        <v>433.9</v>
      </c>
      <c r="BT13" s="13" vm="1804">
        <f ca="1"/>
        <v>420.1</v>
      </c>
      <c r="BU13" s="13" vm="1805">
        <f ca="1"/>
        <v>418.75</v>
      </c>
      <c r="BV13" s="13" vm="1806">
        <f ca="1"/>
        <v>417.9</v>
      </c>
      <c r="BW13" s="13" vm="1807">
        <f ca="1"/>
        <v>419.35</v>
      </c>
      <c r="BX13" s="13" vm="1808">
        <f ca="1"/>
        <v>416.8</v>
      </c>
      <c r="BY13" s="13" vm="1809">
        <f ca="1"/>
        <v>416.7</v>
      </c>
      <c r="BZ13" s="13" vm="1810">
        <f ca="1"/>
        <v>419.3</v>
      </c>
      <c r="CA13" s="13" vm="1811">
        <f ca="1"/>
        <v>420.9</v>
      </c>
      <c r="CB13" s="13" vm="1812">
        <f ca="1"/>
        <v>423.05</v>
      </c>
      <c r="CC13" s="13" vm="1813">
        <f ca="1"/>
        <v>427.1</v>
      </c>
      <c r="CD13" s="13" vm="522">
        <f ca="1"/>
        <v>426.1</v>
      </c>
      <c r="CE13" s="13" vm="1443">
        <f ca="1"/>
        <v>420.95</v>
      </c>
      <c r="CF13" s="13" vm="1814">
        <f ca="1"/>
        <v>413.9</v>
      </c>
      <c r="CG13" s="13" vm="1815">
        <f ca="1"/>
        <v>418.1</v>
      </c>
      <c r="CH13" s="13" vm="1816">
        <f ca="1"/>
        <v>417.35</v>
      </c>
      <c r="CI13" s="13" vm="1817">
        <f ca="1"/>
        <v>415.8</v>
      </c>
      <c r="CJ13" s="13" vm="1818">
        <f ca="1"/>
        <v>416</v>
      </c>
      <c r="CK13" s="13" vm="1819">
        <f ca="1"/>
        <v>418.45</v>
      </c>
      <c r="CL13" s="13" vm="1820">
        <f ca="1"/>
        <v>414.6</v>
      </c>
      <c r="CM13" s="13" vm="1821">
        <f ca="1"/>
        <v>414.25</v>
      </c>
      <c r="CN13" s="13" vm="1822">
        <f ca="1"/>
        <v>416.35</v>
      </c>
      <c r="CO13" s="13" vm="1823">
        <f ca="1"/>
        <v>420.35</v>
      </c>
      <c r="CP13" s="13" vm="1824">
        <f ca="1"/>
        <v>418.95</v>
      </c>
      <c r="CQ13" s="13" vm="1825">
        <f ca="1"/>
        <v>416.5</v>
      </c>
      <c r="CR13" s="13" vm="1826">
        <f ca="1"/>
        <v>415.2</v>
      </c>
      <c r="CS13" s="13" vm="1827">
        <f ca="1"/>
        <v>412.9</v>
      </c>
      <c r="CT13" s="13" vm="1828">
        <f ca="1"/>
        <v>413.55</v>
      </c>
      <c r="CU13" s="13" vm="1776">
        <f ca="1"/>
        <v>412.55</v>
      </c>
      <c r="CV13" s="13" vm="1777">
        <f ca="1"/>
        <v>416.15</v>
      </c>
      <c r="CW13" s="13" vm="1829">
        <f ca="1"/>
        <v>417.05</v>
      </c>
      <c r="CX13" s="13" vm="1807">
        <f ca="1"/>
        <v>419.35</v>
      </c>
      <c r="CY13" s="13" vm="1830">
        <f ca="1"/>
        <v>416.9</v>
      </c>
      <c r="CZ13" s="13" vm="1829">
        <f ca="1"/>
        <v>417.05</v>
      </c>
      <c r="DA13" s="13" vm="1810">
        <f ca="1"/>
        <v>419.3</v>
      </c>
      <c r="DB13" s="13" vm="1831">
        <f ca="1"/>
        <v>422.15</v>
      </c>
      <c r="DC13" s="13" vm="1832">
        <f ca="1"/>
        <v>424.45</v>
      </c>
      <c r="DD13" s="13" vm="1833">
        <f ca="1"/>
        <v>423.8</v>
      </c>
      <c r="DE13" s="13" vm="1834">
        <f ca="1"/>
        <v>422.65</v>
      </c>
      <c r="DF13" s="13" vm="1835">
        <f ca="1"/>
        <v>420.15</v>
      </c>
      <c r="DG13" s="13" vm="1836">
        <f ca="1"/>
        <v>416.1</v>
      </c>
      <c r="DH13" s="13" vm="1837">
        <f ca="1"/>
        <v>414.95</v>
      </c>
      <c r="DI13" s="13" vm="1455">
        <f ca="1"/>
        <v>410</v>
      </c>
      <c r="DJ13" s="13" vm="1838">
        <f ca="1"/>
        <v>409.35</v>
      </c>
      <c r="DK13" s="13" vm="1770">
        <f ca="1"/>
        <v>409.8</v>
      </c>
      <c r="DL13" s="13" vm="1839">
        <f ca="1"/>
        <v>408.55</v>
      </c>
      <c r="DM13" s="13" vm="1840">
        <f ca="1"/>
        <v>407.7</v>
      </c>
      <c r="DN13" s="13" vm="1841">
        <f ca="1"/>
        <v>411.8</v>
      </c>
      <c r="DO13" s="13" vm="1825">
        <f ca="1"/>
        <v>416.5</v>
      </c>
      <c r="DP13" s="13" vm="1842">
        <f ca="1"/>
        <v>416.65</v>
      </c>
      <c r="DQ13" s="13" vm="1843">
        <f ca="1"/>
        <v>414.05</v>
      </c>
      <c r="DR13" s="13" vm="1844">
        <f ca="1"/>
        <v>412</v>
      </c>
      <c r="DS13" s="13" vm="1845">
        <f ca="1"/>
        <v>413.6</v>
      </c>
      <c r="DT13" s="13" vm="1846">
        <f ca="1"/>
        <v>414.4</v>
      </c>
      <c r="DU13" s="13" vm="1808">
        <f ca="1"/>
        <v>416.8</v>
      </c>
      <c r="DV13" s="13" vm="1847">
        <f ca="1"/>
        <v>416.4</v>
      </c>
      <c r="DW13" s="13" vm="1848">
        <f ca="1"/>
        <v>414</v>
      </c>
      <c r="DX13" s="13" vm="1849">
        <f ca="1"/>
        <v>411.4</v>
      </c>
      <c r="DY13" s="13" vm="1850">
        <f ca="1"/>
        <v>406.2</v>
      </c>
      <c r="DZ13" s="13" vm="1851">
        <f ca="1"/>
        <v>409.05</v>
      </c>
      <c r="EA13" s="13" vm="1852">
        <f ca="1"/>
        <v>406</v>
      </c>
      <c r="EB13" s="13" vm="1756">
        <f ca="1"/>
        <v>405.75</v>
      </c>
      <c r="EC13" s="13" vm="1853">
        <f ca="1"/>
        <v>398.3</v>
      </c>
      <c r="ED13" s="13" vm="1854">
        <f ca="1"/>
        <v>399.4</v>
      </c>
      <c r="EE13" s="13" vm="1855">
        <f ca="1"/>
        <v>403.1</v>
      </c>
      <c r="EF13" s="13" vm="1856">
        <f ca="1"/>
        <v>400.7</v>
      </c>
      <c r="EG13" s="13" vm="1857">
        <f ca="1"/>
        <v>409.75</v>
      </c>
      <c r="EH13" s="13" vm="1858">
        <f ca="1"/>
        <v>405.7</v>
      </c>
      <c r="EI13" s="13" vm="1771">
        <f ca="1"/>
        <v>406.65</v>
      </c>
      <c r="EJ13" s="13" vm="1859">
        <f ca="1"/>
        <v>411.5</v>
      </c>
      <c r="EK13" s="13" vm="1860">
        <f ca="1"/>
        <v>415.85</v>
      </c>
      <c r="EL13" s="13" vm="1861">
        <f ca="1"/>
        <v>407.5</v>
      </c>
      <c r="EM13" s="13" vm="1862">
        <f ca="1"/>
        <v>407.4</v>
      </c>
      <c r="EN13" s="13" vm="1863">
        <f ca="1"/>
        <v>410.2</v>
      </c>
      <c r="EO13" s="13" vm="1864">
        <f ca="1"/>
        <v>412.95</v>
      </c>
      <c r="EP13" s="13" vm="1865">
        <f ca="1"/>
        <v>415</v>
      </c>
      <c r="EQ13" s="13" vm="1845">
        <f ca="1"/>
        <v>413.6</v>
      </c>
      <c r="ER13" s="13" vm="1866">
        <f ca="1"/>
        <v>412.65</v>
      </c>
      <c r="ES13" s="13" vm="1867">
        <f ca="1"/>
        <v>413.15</v>
      </c>
      <c r="ET13" s="13" vm="1773">
        <f ca="1"/>
        <v>409.3</v>
      </c>
      <c r="EU13" s="13" vm="1868">
        <f ca="1"/>
        <v>411.95</v>
      </c>
      <c r="EV13" s="13" vm="1869">
        <f ca="1"/>
        <v>410.15</v>
      </c>
      <c r="EW13" s="13" vm="1870">
        <f ca="1"/>
        <v>407.1</v>
      </c>
      <c r="EX13" s="13" vm="1871">
        <f ca="1"/>
        <v>403.35</v>
      </c>
      <c r="EY13" s="13" vm="1872">
        <f ca="1"/>
        <v>401.25</v>
      </c>
      <c r="EZ13" s="13" vm="1873">
        <f ca="1"/>
        <v>400.2</v>
      </c>
      <c r="FA13" s="13" vm="1758">
        <f ca="1"/>
        <v>405.05</v>
      </c>
      <c r="FB13" s="13" vm="1874">
        <f ca="1"/>
        <v>406.45</v>
      </c>
      <c r="FC13" s="13" vm="1875">
        <f ca="1"/>
        <v>401.6</v>
      </c>
      <c r="FD13" s="13" vm="1876">
        <f ca="1"/>
        <v>405.65</v>
      </c>
      <c r="FE13" s="13" vm="1877">
        <f ca="1"/>
        <v>404.35</v>
      </c>
      <c r="FF13" s="13" vm="1878">
        <f ca="1"/>
        <v>400.8</v>
      </c>
      <c r="FG13" s="13" vm="1879">
        <f ca="1"/>
        <v>399.85</v>
      </c>
      <c r="FH13" s="13" vm="1880">
        <f ca="1"/>
        <v>399.7</v>
      </c>
      <c r="FI13" s="13" vm="1881">
        <f ca="1"/>
        <v>399.9</v>
      </c>
      <c r="FJ13" s="13" vm="1882">
        <f ca="1"/>
        <v>402.8</v>
      </c>
      <c r="FK13" s="13" vm="1883">
        <f ca="1"/>
        <v>399.1</v>
      </c>
      <c r="FL13" s="13" vm="1884">
        <f ca="1"/>
        <v>396.7</v>
      </c>
      <c r="FM13" s="13" vm="1885">
        <f ca="1"/>
        <v>400.05</v>
      </c>
      <c r="FN13" s="13" vm="1758">
        <f ca="1"/>
        <v>405.05</v>
      </c>
      <c r="FO13" s="13" vm="1760">
        <f ca="1"/>
        <v>412.1</v>
      </c>
      <c r="FP13" s="13" vm="1864">
        <f ca="1"/>
        <v>412.95</v>
      </c>
      <c r="FQ13" s="13" vm="1886">
        <f ca="1"/>
        <v>412.85</v>
      </c>
      <c r="FR13" s="13" vm="1860">
        <f ca="1"/>
        <v>415.85</v>
      </c>
      <c r="FS13" s="13" vm="1887">
        <f ca="1"/>
        <v>417.1</v>
      </c>
      <c r="FT13" s="13" vm="1823">
        <f ca="1"/>
        <v>420.35</v>
      </c>
      <c r="FU13" s="13" vm="1888">
        <f ca="1"/>
        <v>417.95</v>
      </c>
      <c r="FV13" s="13" vm="1444">
        <f ca="1"/>
        <v>421.6</v>
      </c>
      <c r="FW13" s="13" vm="1889">
        <f ca="1"/>
        <v>418.7</v>
      </c>
      <c r="FX13" s="13" vm="1890">
        <f ca="1"/>
        <v>420.25</v>
      </c>
      <c r="FY13" s="13" vm="1891">
        <f ca="1"/>
        <v>413.95</v>
      </c>
      <c r="FZ13" s="13" vm="1892">
        <f ca="1"/>
        <v>408.6</v>
      </c>
      <c r="GA13" s="13" vm="1893">
        <f ca="1"/>
        <v>407.3</v>
      </c>
      <c r="GB13" s="13" vm="1894">
        <f ca="1"/>
        <v>404</v>
      </c>
      <c r="GC13" s="13" vm="1876">
        <f ca="1"/>
        <v>405.65</v>
      </c>
      <c r="GD13" s="13" vm="1895">
        <f ca="1"/>
        <v>406.85</v>
      </c>
      <c r="GE13" s="13" vm="1769">
        <f ca="1"/>
        <v>407.05</v>
      </c>
      <c r="GF13" s="13" vm="1756">
        <f ca="1"/>
        <v>405.75</v>
      </c>
      <c r="GG13" s="13" vm="1896">
        <f ca="1"/>
        <v>407.85</v>
      </c>
      <c r="GH13" s="13" vm="1870">
        <f ca="1"/>
        <v>407.1</v>
      </c>
      <c r="GI13" s="13" vm="1756">
        <f ca="1"/>
        <v>405.75</v>
      </c>
      <c r="GJ13" s="13" vm="1897">
        <f ca="1"/>
        <v>403.55</v>
      </c>
      <c r="GK13" s="13" vm="1898">
        <f ca="1"/>
        <v>405.5</v>
      </c>
      <c r="GL13" s="13" vm="1762">
        <f ca="1"/>
        <v>407.8</v>
      </c>
      <c r="GM13" s="13" vm="1899">
        <f ca="1"/>
        <v>403.6</v>
      </c>
      <c r="GN13" s="13" vm="1856">
        <f ca="1"/>
        <v>400.7</v>
      </c>
      <c r="GO13" s="13" vm="1900">
        <f ca="1"/>
        <v>402.25</v>
      </c>
      <c r="GP13" s="13" vm="1901">
        <f ca="1"/>
        <v>403.95</v>
      </c>
      <c r="GQ13" s="13" vm="1902">
        <f ca="1"/>
        <v>404.4</v>
      </c>
      <c r="GR13" s="13" vm="1902">
        <f ca="1"/>
        <v>404.4</v>
      </c>
      <c r="GS13" s="13" vm="519">
        <f ca="1"/>
        <v>401.05</v>
      </c>
      <c r="GT13" s="13" vm="1903">
        <f ca="1"/>
        <v>400.55</v>
      </c>
      <c r="GU13" s="13" vm="1764">
        <f ca="1"/>
        <v>403.05</v>
      </c>
      <c r="GV13" s="13" vm="1904">
        <f ca="1"/>
        <v>404.8</v>
      </c>
      <c r="GW13" s="13" vm="1905">
        <f ca="1"/>
        <v>402.15</v>
      </c>
      <c r="GX13" s="13" vm="1906">
        <f ca="1"/>
        <v>400.85</v>
      </c>
      <c r="GY13" s="13" vm="1855">
        <f ca="1"/>
        <v>403.1</v>
      </c>
      <c r="GZ13" s="13" vm="1764">
        <f ca="1"/>
        <v>403.05</v>
      </c>
      <c r="HA13" s="13" vm="1907">
        <f ca="1"/>
        <v>400.5</v>
      </c>
      <c r="HB13" s="13" vm="1908">
        <f ca="1"/>
        <v>402.3</v>
      </c>
      <c r="HC13" s="13" vm="1909">
        <f ca="1"/>
        <v>401.7</v>
      </c>
      <c r="HD13" s="13" vm="1910">
        <f ca="1"/>
        <v>399.95</v>
      </c>
      <c r="HE13" s="13" vm="1873">
        <f ca="1"/>
        <v>400.2</v>
      </c>
      <c r="HF13" s="13" vm="1911">
        <f ca="1"/>
        <v>401.1</v>
      </c>
      <c r="HG13" s="13" vm="1912">
        <f ca="1"/>
        <v>402.55</v>
      </c>
      <c r="HH13" s="13" vm="1913">
        <f ca="1"/>
        <v>407.65</v>
      </c>
      <c r="HI13" s="13" vm="1771">
        <f ca="1"/>
        <v>406.65</v>
      </c>
      <c r="HJ13" s="13" vm="1914">
        <f ca="1"/>
        <v>404.3</v>
      </c>
      <c r="HK13" s="13" vm="1915">
        <f ca="1"/>
        <v>402.4</v>
      </c>
      <c r="HL13" s="13" vm="1916">
        <f ca="1"/>
        <v>400.6</v>
      </c>
      <c r="HM13" s="13" vm="1917">
        <f ca="1"/>
        <v>403</v>
      </c>
      <c r="HN13" s="13" vm="1918">
        <f ca="1"/>
        <v>363.95</v>
      </c>
      <c r="HO13" s="13" vm="1919">
        <f ca="1"/>
        <v>350.15</v>
      </c>
      <c r="HP13" s="13" vm="1920">
        <f ca="1"/>
        <v>349.7</v>
      </c>
      <c r="HQ13" s="13" vm="1921">
        <f ca="1"/>
        <v>342.45</v>
      </c>
      <c r="HR13" s="13" vm="1922">
        <f ca="1"/>
        <v>341.35</v>
      </c>
      <c r="HS13" s="13" vm="1923">
        <f ca="1"/>
        <v>340.9</v>
      </c>
      <c r="HT13" s="13" vm="1924">
        <f ca="1"/>
        <v>337.1</v>
      </c>
      <c r="HU13" s="13" vm="1925">
        <f ca="1"/>
        <v>338.35</v>
      </c>
      <c r="HV13" s="13" vm="1926">
        <f ca="1"/>
        <v>334.65</v>
      </c>
      <c r="HW13" s="13" vm="1927">
        <f ca="1"/>
        <v>334.75</v>
      </c>
      <c r="HX13" s="13" vm="1928">
        <f ca="1"/>
        <v>329.25</v>
      </c>
      <c r="HY13" s="13" vm="1929">
        <f ca="1"/>
        <v>332.9</v>
      </c>
      <c r="HZ13" s="13" vm="1930">
        <f ca="1"/>
        <v>326.39999999999998</v>
      </c>
      <c r="IA13" s="13" vm="1931">
        <f ca="1"/>
        <v>324.7</v>
      </c>
      <c r="IB13" s="13" vm="1932">
        <f ca="1"/>
        <v>324.89999999999998</v>
      </c>
      <c r="IC13" s="13" vm="1933">
        <f ca="1"/>
        <v>323.45</v>
      </c>
      <c r="ID13" s="13" vm="1934">
        <f ca="1"/>
        <v>318.8</v>
      </c>
      <c r="IE13" s="13" vm="1935">
        <f ca="1"/>
        <v>321.25</v>
      </c>
      <c r="IF13" s="13" vm="1936">
        <f ca="1"/>
        <v>318.64999999999998</v>
      </c>
      <c r="IG13" s="13" vm="1937">
        <f ca="1"/>
        <v>322.2</v>
      </c>
      <c r="IH13" s="13" vm="1938">
        <f ca="1"/>
        <v>309.60000000000002</v>
      </c>
      <c r="II13" s="13" vm="1281">
        <f ca="1"/>
        <v>314.8</v>
      </c>
      <c r="IJ13" s="13" vm="1939">
        <f ca="1"/>
        <v>316.7</v>
      </c>
      <c r="IK13" s="13" vm="1940">
        <f ca="1"/>
        <v>313.85000000000002</v>
      </c>
      <c r="IL13" s="13" vm="1941">
        <f ca="1"/>
        <v>310.25</v>
      </c>
      <c r="IM13" s="13" vm="1942">
        <f ca="1"/>
        <v>326.05</v>
      </c>
      <c r="IN13" s="13" vm="1943">
        <f ca="1"/>
        <v>322.55</v>
      </c>
      <c r="IO13" s="13" vm="1944">
        <f ca="1"/>
        <v>321.35000000000002</v>
      </c>
      <c r="IP13" s="13" vm="1945">
        <f ca="1"/>
        <v>318.2</v>
      </c>
      <c r="IQ13" s="13" vm="1946">
        <f ca="1"/>
        <v>317.64999999999998</v>
      </c>
      <c r="IR13" s="13" vm="1947">
        <f ca="1"/>
        <v>313.60000000000002</v>
      </c>
      <c r="IS13" s="13" vm="1948">
        <f ca="1"/>
        <v>317.95</v>
      </c>
      <c r="IT13" s="13" vm="498">
        <f ca="1"/>
        <v>325.3</v>
      </c>
      <c r="IU13" s="13" vm="1327">
        <f ca="1"/>
        <v>332.5</v>
      </c>
      <c r="IV13" s="13" vm="1949">
        <f ca="1"/>
        <v>325.75</v>
      </c>
      <c r="IW13" s="13" vm="1950">
        <f ca="1"/>
        <v>327</v>
      </c>
    </row>
    <row r="14" spans="2:257" x14ac:dyDescent="0.4">
      <c r="E14" s="23"/>
      <c r="F14" s="23"/>
      <c r="G14" s="23"/>
      <c r="H14" s="24"/>
      <c r="I14" s="23"/>
    </row>
    <row r="15" spans="2:257" x14ac:dyDescent="0.4">
      <c r="E15" s="23"/>
      <c r="F15" s="23"/>
      <c r="G15" s="23"/>
      <c r="H15" s="24"/>
      <c r="I15" s="23"/>
    </row>
    <row r="16" spans="2:257" x14ac:dyDescent="0.4">
      <c r="K16" s="26"/>
    </row>
    <row r="17" spans="2:10" x14ac:dyDescent="0.4">
      <c r="B17" s="19" t="s">
        <v>8</v>
      </c>
      <c r="C17" s="20"/>
      <c r="D17" s="20"/>
      <c r="E17" s="20"/>
      <c r="F17" s="20"/>
      <c r="G17" s="20"/>
      <c r="H17" s="20"/>
      <c r="I17" s="20"/>
      <c r="J17" s="20"/>
    </row>
    <row r="18" spans="2:10" ht="15" thickBot="1" x14ac:dyDescent="0.45">
      <c r="B18" s="21" t="s">
        <v>1</v>
      </c>
      <c r="C18" s="21" t="s">
        <v>4</v>
      </c>
      <c r="D18" s="25"/>
      <c r="E18" s="25"/>
      <c r="F18" s="25"/>
      <c r="G18" s="25"/>
      <c r="H18" s="25"/>
      <c r="I18" s="25"/>
    </row>
    <row r="19" spans="2:10" x14ac:dyDescent="0.4">
      <c r="B19" s="13" t="str" cm="1">
        <f t="array" aca="1" ref="B19:B25" ca="1">_xlfn.UNIQUE(_xlfn.ANCHORARRAY(C6))</f>
        <v>Oil &amp; Gas</v>
      </c>
      <c r="C19" s="23" cm="1">
        <f t="array" aca="1" ref="C19:C25" ca="1">SUMIF(_xlfn.ANCHORARRAY(C6),_xlfn.ANCHORARRAY(B19),_xlfn.ANCHORARRAY(F6))</f>
        <v>32661.149999999998</v>
      </c>
    </row>
    <row r="20" spans="2:10" x14ac:dyDescent="0.4">
      <c r="B20" s="13" t="str">
        <f ca="1"/>
        <v>Automobiles &amp; Auto Parts</v>
      </c>
      <c r="C20" s="23">
        <f ca="1"/>
        <v>38777.799999999996</v>
      </c>
    </row>
    <row r="21" spans="2:10" x14ac:dyDescent="0.4">
      <c r="B21" s="13" t="str">
        <f ca="1"/>
        <v>Banking Services</v>
      </c>
      <c r="C21" s="23">
        <f ca="1"/>
        <v>55326.7</v>
      </c>
    </row>
    <row r="22" spans="2:10" x14ac:dyDescent="0.4">
      <c r="B22" s="13" t="str">
        <f ca="1"/>
        <v>Pharmaceuticals</v>
      </c>
      <c r="C22" s="23">
        <f ca="1"/>
        <v>29314.800000000003</v>
      </c>
    </row>
    <row r="23" spans="2:10" x14ac:dyDescent="0.4">
      <c r="B23" s="13" t="str">
        <f ca="1"/>
        <v>Biotechnology &amp; Medical Research</v>
      </c>
      <c r="C23" s="23">
        <f ca="1"/>
        <v>15358</v>
      </c>
    </row>
    <row r="24" spans="2:10" x14ac:dyDescent="0.4">
      <c r="B24" s="13" t="str">
        <f ca="1"/>
        <v>Personal &amp; Household Products &amp; Services</v>
      </c>
      <c r="C24" s="23">
        <f ca="1"/>
        <v>50919</v>
      </c>
    </row>
    <row r="25" spans="2:10" x14ac:dyDescent="0.4">
      <c r="B25" s="13" t="str">
        <f ca="1"/>
        <v>Food &amp; Tobacco</v>
      </c>
      <c r="C25" s="23">
        <f ca="1"/>
        <v>13734</v>
      </c>
    </row>
  </sheetData>
  <mergeCells count="3">
    <mergeCell ref="B1:C2"/>
    <mergeCell ref="G5:H5"/>
    <mergeCell ref="G1:H1"/>
  </mergeCells>
  <conditionalFormatting sqref="C19:C26">
    <cfRule type="dataBar" priority="1">
      <dataBar>
        <cfvo type="min"/>
        <cfvo type="max"/>
        <color rgb="FF638EC6"/>
      </dataBar>
      <extLst>
        <ext xmlns:x14="http://schemas.microsoft.com/office/spreadsheetml/2009/9/main" uri="{B025F937-C7B1-47D3-B67F-A62EFF666E3E}">
          <x14:id>{49479996-D603-40B2-A744-02571F3B874C}</x14:id>
        </ext>
      </extLst>
    </cfRule>
  </conditionalFormatting>
  <conditionalFormatting sqref="F6:F15">
    <cfRule type="dataBar" priority="2">
      <dataBar>
        <cfvo type="min"/>
        <cfvo type="max"/>
        <color rgb="FF638EC6"/>
      </dataBar>
      <extLst>
        <ext xmlns:x14="http://schemas.microsoft.com/office/spreadsheetml/2009/9/main" uri="{B025F937-C7B1-47D3-B67F-A62EFF666E3E}">
          <x14:id>{4B70B9BB-03D3-49A5-BAD8-C0F57500316F}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9479996-D603-40B2-A744-02571F3B874C}">
            <x14:dataBar minLength="0" maxLength="100" gradient="0">
              <x14:cfvo type="autoMin"/>
              <x14:cfvo type="autoMax"/>
              <x14:negativeFillColor rgb="FFFF0000"/>
              <x14:axisColor rgb="FF000000"/>
            </x14:dataBar>
          </x14:cfRule>
          <xm:sqref>C19:C26</xm:sqref>
        </x14:conditionalFormatting>
        <x14:conditionalFormatting xmlns:xm="http://schemas.microsoft.com/office/excel/2006/main">
          <x14:cfRule type="dataBar" id="{4B70B9BB-03D3-49A5-BAD8-C0F57500316F}">
            <x14:dataBar minLength="0" maxLength="100" gradient="0">
              <x14:cfvo type="autoMin"/>
              <x14:cfvo type="autoMax"/>
              <x14:negativeFillColor rgb="FFFF0000"/>
              <x14:axisColor rgb="FF000000"/>
            </x14:dataBar>
          </x14:cfRule>
          <xm:sqref>F6:F15</xm:sqref>
        </x14:conditionalFormatting>
        <x14:conditionalFormatting xmlns:xm="http://schemas.microsoft.com/office/excel/2006/main">
          <x14:cfRule type="iconSet" priority="4" id="{DC058BAE-489B-47D8-A65F-810D57491CFF}">
            <x14:iconSet iconSet="3Triangles">
              <x14:cfvo type="percent">
                <xm:f>0</xm:f>
              </x14:cfvo>
              <x14:cfvo type="num">
                <xm:f>0</xm:f>
              </x14:cfvo>
              <x14:cfvo type="num" gte="0">
                <xm:f>0</xm:f>
              </x14:cfvo>
            </x14:iconSet>
          </x14:cfRule>
          <xm:sqref>H2</xm:sqref>
        </x14:conditionalFormatting>
        <x14:conditionalFormatting xmlns:xm="http://schemas.microsoft.com/office/excel/2006/main">
          <x14:cfRule type="iconSet" priority="3" id="{BFF528C0-0FE5-4316-AD55-062098306D0C}">
            <x14:iconSet iconSet="3Triangles">
              <x14:cfvo type="percent">
                <xm:f>0</xm:f>
              </x14:cfvo>
              <x14:cfvo type="num">
                <xm:f>0</xm:f>
              </x14:cfvo>
              <x14:cfvo type="num" gte="0">
                <xm:f>0</xm:f>
              </x14:cfvo>
            </x14:iconSet>
          </x14:cfRule>
          <xm:sqref>H6:H15</xm:sqref>
        </x14:conditionalFormatting>
      </x14:conditionalFormattings>
    </ext>
    <ext xmlns:x14="http://schemas.microsoft.com/office/spreadsheetml/2009/9/main" uri="{05C60535-1F16-4fd2-B633-F4F36F0B64E0}">
      <x14:sparklineGroups xmlns:xm="http://schemas.microsoft.com/office/excel/2006/main">
        <x14:sparklineGroup lineWeight="1" displayEmptyCellsAs="gap" xr2:uid="{2ECEB882-C6BB-4F7E-9E86-41E55B226FD7}">
          <x14:colorSeries theme="3" tint="0.249977111117893"/>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Dashboard!L6:IX6</xm:f>
              <xm:sqref>J6</xm:sqref>
            </x14:sparkline>
            <x14:sparkline>
              <xm:f>Dashboard!L7:IX7</xm:f>
              <xm:sqref>J7</xm:sqref>
            </x14:sparkline>
            <x14:sparkline>
              <xm:f>Dashboard!L8:IX8</xm:f>
              <xm:sqref>J8</xm:sqref>
            </x14:sparkline>
            <x14:sparkline>
              <xm:f>Dashboard!L9:IX9</xm:f>
              <xm:sqref>J9</xm:sqref>
            </x14:sparkline>
            <x14:sparkline>
              <xm:f>Dashboard!L10:IX10</xm:f>
              <xm:sqref>J10</xm:sqref>
            </x14:sparkline>
            <x14:sparkline>
              <xm:f>Dashboard!L11:IX11</xm:f>
              <xm:sqref>J11</xm:sqref>
            </x14:sparkline>
            <x14:sparkline>
              <xm:f>Dashboard!L12:IX12</xm:f>
              <xm:sqref>J12</xm:sqref>
            </x14:sparkline>
            <x14:sparkline>
              <xm:f>Dashboard!L13:IX13</xm:f>
              <xm:sqref>J13</xm:sqref>
            </x14:sparkline>
            <x14:sparkline>
              <xm:f>Dashboard!L14:IX14</xm:f>
              <xm:sqref>J14</xm:sqref>
            </x14:sparkline>
            <x14:sparkline>
              <xm:f>Dashboard!L15:IX15</xm:f>
              <xm:sqref>J15</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330F2-0B22-4FCD-9703-EB3C57280A96}">
  <dimension ref="A3:G11"/>
  <sheetViews>
    <sheetView topLeftCell="B1" workbookViewId="0">
      <selection activeCell="B12" sqref="B12"/>
    </sheetView>
  </sheetViews>
  <sheetFormatPr defaultRowHeight="14.6" x14ac:dyDescent="0.4"/>
  <cols>
    <col min="1" max="1" width="10.07421875" bestFit="1" customWidth="1"/>
    <col min="2" max="2" width="57" bestFit="1" customWidth="1"/>
    <col min="3" max="3" width="12.53515625" customWidth="1"/>
    <col min="5" max="5" width="7.3828125" bestFit="1" customWidth="1"/>
    <col min="6" max="6" width="10.765625" customWidth="1"/>
    <col min="7" max="7" width="19.3828125" customWidth="1"/>
  </cols>
  <sheetData>
    <row r="3" spans="1:7" x14ac:dyDescent="0.4">
      <c r="A3" t="s">
        <v>10</v>
      </c>
      <c r="B3" t="s">
        <v>11</v>
      </c>
      <c r="C3" t="s">
        <v>12</v>
      </c>
      <c r="D3" t="s">
        <v>2</v>
      </c>
      <c r="E3" t="s">
        <v>13</v>
      </c>
      <c r="F3" t="s">
        <v>14</v>
      </c>
      <c r="G3" t="s">
        <v>15</v>
      </c>
    </row>
    <row r="4" spans="1:7" x14ac:dyDescent="0.4">
      <c r="A4" s="5">
        <v>45839</v>
      </c>
      <c r="B4" t="e" vm="248">
        <v>#VALUE!</v>
      </c>
      <c r="C4" t="s">
        <v>17</v>
      </c>
      <c r="D4">
        <v>23</v>
      </c>
      <c r="E4" s="3">
        <v>1460</v>
      </c>
      <c r="F4" s="1" t="s">
        <v>20</v>
      </c>
      <c r="G4" s="4">
        <f>Ledger[[#This Row],[Units]]*Ledger[[#This Row],[Price]]</f>
        <v>33580</v>
      </c>
    </row>
    <row r="5" spans="1:7" x14ac:dyDescent="0.4">
      <c r="A5" s="5">
        <v>45871</v>
      </c>
      <c r="B5" t="e" vm="491">
        <v>#VALUE!</v>
      </c>
      <c r="C5" t="s">
        <v>19</v>
      </c>
      <c r="D5">
        <v>82</v>
      </c>
      <c r="E5" s="4">
        <v>487</v>
      </c>
      <c r="F5" s="1" t="s">
        <v>20</v>
      </c>
      <c r="G5" s="4">
        <f>Ledger[[#This Row],[Units]]*Ledger[[#This Row],[Price]]</f>
        <v>39934</v>
      </c>
    </row>
    <row r="6" spans="1:7" x14ac:dyDescent="0.4">
      <c r="A6" s="5">
        <v>45872</v>
      </c>
      <c r="B6" t="e" vm="564">
        <v>#VALUE!</v>
      </c>
      <c r="C6" t="s">
        <v>18</v>
      </c>
      <c r="D6">
        <v>26</v>
      </c>
      <c r="E6" s="4">
        <v>932</v>
      </c>
      <c r="F6" s="1" t="s">
        <v>20</v>
      </c>
      <c r="G6" s="4">
        <f>Ledger[[#This Row],[Units]]*Ledger[[#This Row],[Price]]</f>
        <v>24232</v>
      </c>
    </row>
    <row r="7" spans="1:7" x14ac:dyDescent="0.4">
      <c r="A7" s="5">
        <v>45904</v>
      </c>
      <c r="B7" t="e" vm="801">
        <v>#VALUE!</v>
      </c>
      <c r="C7" t="s">
        <v>17</v>
      </c>
      <c r="D7">
        <v>26</v>
      </c>
      <c r="E7" s="4">
        <v>1146</v>
      </c>
      <c r="F7" s="1" t="s">
        <v>20</v>
      </c>
      <c r="G7" s="4">
        <f>Ledger[[#This Row],[Units]]*Ledger[[#This Row],[Price]]</f>
        <v>29796</v>
      </c>
    </row>
    <row r="8" spans="1:7" x14ac:dyDescent="0.4">
      <c r="A8" s="5">
        <v>45905</v>
      </c>
      <c r="B8" t="e" vm="1038">
        <v>#VALUE!</v>
      </c>
      <c r="C8" t="s">
        <v>17</v>
      </c>
      <c r="D8">
        <v>17</v>
      </c>
      <c r="E8" s="4">
        <v>1706</v>
      </c>
      <c r="F8" s="1" t="s">
        <v>20</v>
      </c>
      <c r="G8" s="4">
        <f>Ledger[[#This Row],[Units]]*Ledger[[#This Row],[Price]]</f>
        <v>29002</v>
      </c>
    </row>
    <row r="9" spans="1:7" x14ac:dyDescent="0.4">
      <c r="A9" s="5">
        <v>45936</v>
      </c>
      <c r="B9" t="e" vm="1275">
        <v>#VALUE!</v>
      </c>
      <c r="C9" t="s">
        <v>19</v>
      </c>
      <c r="D9">
        <v>40</v>
      </c>
      <c r="E9" s="4">
        <v>373</v>
      </c>
      <c r="F9" s="1" t="s">
        <v>20</v>
      </c>
      <c r="G9" s="4">
        <f>Ledger[[#This Row],[Units]]*Ledger[[#This Row],[Price]]</f>
        <v>14920</v>
      </c>
    </row>
    <row r="10" spans="1:7" x14ac:dyDescent="0.4">
      <c r="A10" s="5">
        <v>45937</v>
      </c>
      <c r="B10" t="e" vm="1506">
        <v>#VALUE!</v>
      </c>
      <c r="C10" t="s">
        <v>17</v>
      </c>
      <c r="D10">
        <v>22</v>
      </c>
      <c r="E10" s="4">
        <v>2423</v>
      </c>
      <c r="F10" s="1" t="s">
        <v>20</v>
      </c>
      <c r="G10" s="4">
        <f>Ledger[[#This Row],[Units]]*Ledger[[#This Row],[Price]]</f>
        <v>53306</v>
      </c>
    </row>
    <row r="11" spans="1:7" x14ac:dyDescent="0.4">
      <c r="B11" t="e" vm="1748">
        <v>#VALUE!</v>
      </c>
      <c r="C11" t="s">
        <v>17</v>
      </c>
      <c r="D11">
        <v>42</v>
      </c>
      <c r="E11" s="4">
        <v>317.64999999999998</v>
      </c>
      <c r="F11" s="1" t="s">
        <v>20</v>
      </c>
      <c r="G11" s="4">
        <f>Ledger[[#This Row],[Units]]*Ledger[[#This Row],[Price]]</f>
        <v>13341.3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BA08-0B21-42EE-9AC6-6983D6B5C129}">
  <dimension ref="A2:L7"/>
  <sheetViews>
    <sheetView workbookViewId="0">
      <selection activeCell="F6" sqref="F6"/>
    </sheetView>
  </sheetViews>
  <sheetFormatPr defaultRowHeight="14.6" x14ac:dyDescent="0.4"/>
  <cols>
    <col min="1" max="1" width="47.07421875" bestFit="1" customWidth="1"/>
    <col min="4" max="4" width="13.84375" bestFit="1" customWidth="1"/>
    <col min="5" max="5" width="13.15234375" bestFit="1" customWidth="1"/>
    <col min="6" max="6" width="11.07421875" bestFit="1" customWidth="1"/>
    <col min="7" max="7" width="7.53515625" bestFit="1" customWidth="1"/>
    <col min="11" max="12" width="14.69140625" bestFit="1" customWidth="1"/>
  </cols>
  <sheetData>
    <row r="2" spans="1:12" x14ac:dyDescent="0.4">
      <c r="K2" s="6" t="s">
        <v>11</v>
      </c>
      <c r="L2" t="s">
        <v>26</v>
      </c>
    </row>
    <row r="3" spans="1:12" x14ac:dyDescent="0.4">
      <c r="A3" t="s">
        <v>11</v>
      </c>
      <c r="B3" t="s">
        <v>30</v>
      </c>
      <c r="C3" t="s">
        <v>22</v>
      </c>
      <c r="D3" t="s">
        <v>16</v>
      </c>
      <c r="E3" t="s">
        <v>23</v>
      </c>
      <c r="F3" t="s">
        <v>13</v>
      </c>
      <c r="G3" t="s">
        <v>24</v>
      </c>
      <c r="H3" t="s">
        <v>25</v>
      </c>
    </row>
    <row r="4" spans="1:12" x14ac:dyDescent="0.4">
      <c r="A4" t="e" vm="1951">
        <v>#VALUE!</v>
      </c>
      <c r="B4" t="str" cm="1">
        <f t="array" aca="1" ref="B4" ca="1">_FV(Table2[[#This Row],[Stock]],"Exchange abbreviation",TRUE)</f>
        <v>XNSE</v>
      </c>
      <c r="C4" t="str" cm="1">
        <f t="array" aca="1" ref="C4" ca="1">_FV(Table2[[#This Row],[Stock]],"Ticker symbol",TRUE)</f>
        <v>LT</v>
      </c>
      <c r="D4" s="2" cm="1">
        <f t="array" aca="1" ref="D4" ca="1">_FV(Table2[[#This Row],[Stock]],"52 week high",TRUE)</f>
        <v>4390</v>
      </c>
      <c r="E4" s="2" cm="1">
        <f t="array" aca="1" ref="E4" ca="1">_FV(Table2[[#This Row],[Stock]],"52 week low",TRUE)</f>
        <v>2965.3</v>
      </c>
      <c r="F4" s="2" cm="1">
        <f t="array" aca="1" ref="F4" ca="1">_FV(Table2[[#This Row],[Stock]],"Price")</f>
        <v>4380.6000000000004</v>
      </c>
      <c r="G4" s="2" cm="1">
        <f t="array" aca="1" ref="G4" ca="1">_FV(Table2[[#This Row],[Stock]],"P/E",TRUE)</f>
        <v>36.22</v>
      </c>
      <c r="H4" s="2" cm="1">
        <f t="array" aca="1" ref="H4" ca="1">_FV(Table2[[#This Row],[Stock]],"Change")</f>
        <v>100.1</v>
      </c>
      <c r="I4" s="2"/>
      <c r="K4" s="6" t="s">
        <v>30</v>
      </c>
      <c r="L4" s="6" t="s">
        <v>22</v>
      </c>
    </row>
    <row r="5" spans="1:12" x14ac:dyDescent="0.4">
      <c r="A5" t="e" vm="1952">
        <v>#VALUE!</v>
      </c>
      <c r="B5" t="str" cm="1">
        <f t="array" aca="1" ref="B5" ca="1">_FV(Table2[[#This Row],[Stock]],"Exchange abbreviation",TRUE)</f>
        <v>XNSE</v>
      </c>
      <c r="C5" t="str" cm="1">
        <f t="array" aca="1" ref="C5" ca="1">_FV(Table2[[#This Row],[Stock]],"Ticker symbol",TRUE)</f>
        <v>DIXON</v>
      </c>
      <c r="D5" s="2" cm="1">
        <f t="array" aca="1" ref="D5" ca="1">_FV(Table2[[#This Row],[Stock]],"52 week high",TRUE)</f>
        <v>18471</v>
      </c>
      <c r="E5" s="2" cm="1">
        <f t="array" aca="1" ref="E5" ca="1">_FV(Table2[[#This Row],[Stock]],"52 week low",TRUE)</f>
        <v>9835</v>
      </c>
      <c r="F5" s="2" cm="1">
        <f t="array" aca="1" ref="F5" ca="1">_FV(Table2[[#This Row],[Stock]],"Price")</f>
        <v>11072</v>
      </c>
      <c r="G5" s="2" cm="1">
        <f t="array" aca="1" ref="G5" ca="1">_FV(Table2[[#This Row],[Stock]],"P/E",TRUE)</f>
        <v>40.47</v>
      </c>
      <c r="H5" s="2" cm="1">
        <f t="array" aca="1" ref="H5" ca="1">_FV(Table2[[#This Row],[Stock]],"Change")</f>
        <v>-165</v>
      </c>
      <c r="I5" s="2"/>
      <c r="K5" t="s">
        <v>27</v>
      </c>
      <c r="L5" t="s">
        <v>28</v>
      </c>
    </row>
    <row r="6" spans="1:12" x14ac:dyDescent="0.4">
      <c r="A6" t="e" vm="1748">
        <v>#VALUE!</v>
      </c>
      <c r="B6" t="str" cm="1">
        <f t="array" aca="1" ref="B6" ca="1">_FV(Table2[[#This Row],[Stock]],"Exchange abbreviation",TRUE)</f>
        <v>XBOM</v>
      </c>
      <c r="C6" t="str" cm="1">
        <f t="array" aca="1" ref="C6" ca="1">_FV(Table2[[#This Row],[Stock]],"Ticker symbol",TRUE)</f>
        <v>500875</v>
      </c>
      <c r="D6" s="2" cm="1">
        <f t="array" aca="1" ref="D6" ca="1">_FV(Table2[[#This Row],[Stock]],"52 week high",TRUE)</f>
        <v>444.15</v>
      </c>
      <c r="E6" s="2" cm="1">
        <f t="array" aca="1" ref="E6" ca="1">_FV(Table2[[#This Row],[Stock]],"52 week low",TRUE)</f>
        <v>302</v>
      </c>
      <c r="F6" s="2" cm="1">
        <f t="array" aca="1" ref="F6" ca="1">_FV(Table2[[#This Row],[Stock]],"Price")</f>
        <v>327</v>
      </c>
      <c r="G6" s="2" cm="1">
        <f t="array" aca="1" ref="G6" ca="1">_FV(Table2[[#This Row],[Stock]],"P/E",TRUE)</f>
        <v>20.02</v>
      </c>
      <c r="H6" s="2" cm="1">
        <f t="array" aca="1" ref="H6" ca="1">_FV(Table2[[#This Row],[Stock]],"Change")</f>
        <v>1.25</v>
      </c>
      <c r="K6" t="s">
        <v>27</v>
      </c>
      <c r="L6" t="s">
        <v>29</v>
      </c>
    </row>
    <row r="7" spans="1:12" x14ac:dyDescent="0.4">
      <c r="K7" t="s">
        <v>31</v>
      </c>
      <c r="L7" t="s">
        <v>32</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0F3CD-716F-4896-8C65-E67BC8CC9038}">
  <dimension ref="A1:IG20"/>
  <sheetViews>
    <sheetView zoomScale="78" zoomScaleNormal="79" workbookViewId="0">
      <selection activeCell="C36" sqref="C36"/>
    </sheetView>
  </sheetViews>
  <sheetFormatPr defaultRowHeight="14.6" x14ac:dyDescent="0.4"/>
  <cols>
    <col min="1" max="1" width="11.07421875" bestFit="1" customWidth="1"/>
    <col min="2" max="2" width="51.921875" bestFit="1" customWidth="1"/>
    <col min="3" max="249" width="11.07421875" bestFit="1" customWidth="1"/>
  </cols>
  <sheetData>
    <row r="1" spans="1:241" x14ac:dyDescent="0.4">
      <c r="A1" s="6" t="s">
        <v>11</v>
      </c>
      <c r="B1" t="e" vm="1952">
        <v>#VALUE!</v>
      </c>
    </row>
    <row r="3" spans="1:241" x14ac:dyDescent="0.4">
      <c r="A3" s="6" t="s">
        <v>30</v>
      </c>
      <c r="B3" s="6" t="s">
        <v>22</v>
      </c>
    </row>
    <row r="4" spans="1:241" x14ac:dyDescent="0.4">
      <c r="A4" t="s">
        <v>27</v>
      </c>
      <c r="B4" t="s">
        <v>28</v>
      </c>
      <c r="C4" cm="1" vm="1953">
        <f t="array" aca="1" ref="C4:IG4" ca="1">TRANSPOSE(_xlfn.STOCKHISTORY(A4&amp;":"&amp;B4,TODAY()-365,TODAY(),0,0,1))</f>
        <v>14043.35</v>
      </c>
      <c r="D4" vm="1954">
        <f ca="1"/>
        <v>14151.6</v>
      </c>
      <c r="E4" vm="1955">
        <f ca="1"/>
        <v>13824.3</v>
      </c>
      <c r="F4" vm="1956">
        <f ca="1"/>
        <v>13935.85</v>
      </c>
      <c r="G4" vm="1957">
        <f ca="1"/>
        <v>14051.75</v>
      </c>
      <c r="H4" vm="1958">
        <f ca="1"/>
        <v>14190.35</v>
      </c>
      <c r="I4" vm="1959">
        <f ca="1"/>
        <v>14497.45</v>
      </c>
      <c r="J4" vm="1960">
        <f ca="1"/>
        <v>14256.25</v>
      </c>
      <c r="K4" vm="1961">
        <f ca="1"/>
        <v>13911.25</v>
      </c>
      <c r="L4" vm="1962">
        <f ca="1"/>
        <v>13131.15</v>
      </c>
      <c r="M4" vm="1963">
        <f ca="1"/>
        <v>13298.9</v>
      </c>
      <c r="N4" vm="1964">
        <f ca="1"/>
        <v>13078.95</v>
      </c>
      <c r="O4" vm="1965">
        <f ca="1"/>
        <v>13324.05</v>
      </c>
      <c r="P4" vm="1966">
        <f ca="1"/>
        <v>13098.2</v>
      </c>
      <c r="Q4" vm="1967">
        <f ca="1"/>
        <v>13470.15</v>
      </c>
      <c r="R4" vm="1968">
        <f ca="1"/>
        <v>13875.6</v>
      </c>
      <c r="S4" vm="1969">
        <f ca="1"/>
        <v>13905.7</v>
      </c>
      <c r="T4" vm="1970">
        <f ca="1"/>
        <v>14056.8</v>
      </c>
      <c r="U4" vm="1971">
        <f ca="1"/>
        <v>14608.35</v>
      </c>
      <c r="V4" vm="1972">
        <f ca="1"/>
        <v>13624.5</v>
      </c>
      <c r="W4" vm="1973">
        <f ca="1"/>
        <v>13260.4</v>
      </c>
      <c r="X4" vm="1974">
        <f ca="1"/>
        <v>13510.8</v>
      </c>
      <c r="Y4" vm="1975">
        <f ca="1"/>
        <v>13179.5</v>
      </c>
      <c r="Z4" vm="1976">
        <f ca="1"/>
        <v>12923.9</v>
      </c>
      <c r="AA4" vm="1977">
        <f ca="1"/>
        <v>13450.7</v>
      </c>
      <c r="AB4" vm="1978">
        <f ca="1"/>
        <v>13487.95</v>
      </c>
      <c r="AC4" vm="1979">
        <f ca="1"/>
        <v>13137.55</v>
      </c>
      <c r="AD4" vm="1980">
        <f ca="1"/>
        <v>12556.05</v>
      </c>
      <c r="AE4" vm="1981">
        <f ca="1"/>
        <v>12991.8</v>
      </c>
      <c r="AF4" vm="1982">
        <f ca="1"/>
        <v>13282.45</v>
      </c>
      <c r="AG4" vm="1983">
        <f ca="1"/>
        <v>14301.9</v>
      </c>
      <c r="AH4" vm="1984">
        <f ca="1"/>
        <v>14931</v>
      </c>
      <c r="AI4" vm="1985">
        <f ca="1"/>
        <v>15252</v>
      </c>
      <c r="AJ4" vm="1986">
        <f ca="1"/>
        <v>15323</v>
      </c>
      <c r="AK4" vm="1987">
        <f ca="1"/>
        <v>15816</v>
      </c>
      <c r="AL4" vm="1988">
        <f ca="1"/>
        <v>16675</v>
      </c>
      <c r="AM4" vm="1989">
        <f ca="1"/>
        <v>16607</v>
      </c>
      <c r="AN4" vm="1990">
        <f ca="1"/>
        <v>16588</v>
      </c>
      <c r="AO4" vm="1991">
        <f ca="1"/>
        <v>16219</v>
      </c>
      <c r="AP4" vm="1992">
        <f ca="1"/>
        <v>16415</v>
      </c>
      <c r="AQ4" vm="1993">
        <f ca="1"/>
        <v>16614</v>
      </c>
      <c r="AR4" vm="1994">
        <f ca="1"/>
        <v>16452</v>
      </c>
      <c r="AS4" vm="1995">
        <f ca="1"/>
        <v>16347</v>
      </c>
      <c r="AT4" vm="1996">
        <f ca="1"/>
        <v>16710</v>
      </c>
      <c r="AU4" vm="1997">
        <f ca="1"/>
        <v>16056</v>
      </c>
      <c r="AV4" vm="1998">
        <f ca="1"/>
        <v>16095</v>
      </c>
      <c r="AW4" vm="1999">
        <f ca="1"/>
        <v>15626</v>
      </c>
      <c r="AX4" vm="2000">
        <f ca="1"/>
        <v>15190</v>
      </c>
      <c r="AY4" vm="2001">
        <f ca="1"/>
        <v>16073</v>
      </c>
      <c r="AZ4" vm="1991">
        <f ca="1"/>
        <v>16219</v>
      </c>
      <c r="BA4" vm="2002">
        <f ca="1"/>
        <v>16121</v>
      </c>
      <c r="BB4" vm="2003">
        <f ca="1"/>
        <v>16433</v>
      </c>
      <c r="BC4" vm="2004">
        <f ca="1"/>
        <v>16660</v>
      </c>
      <c r="BD4" vm="2005">
        <f ca="1"/>
        <v>16574</v>
      </c>
      <c r="BE4" vm="2006">
        <f ca="1"/>
        <v>16566</v>
      </c>
      <c r="BF4" vm="2007">
        <f ca="1"/>
        <v>15612</v>
      </c>
      <c r="BG4" vm="2008">
        <f ca="1"/>
        <v>15170</v>
      </c>
      <c r="BH4" vm="2009">
        <f ca="1"/>
        <v>15019</v>
      </c>
      <c r="BI4" vm="2010">
        <f ca="1"/>
        <v>15085</v>
      </c>
      <c r="BJ4" vm="2011">
        <f ca="1"/>
        <v>15091</v>
      </c>
      <c r="BK4" vm="2012">
        <f ca="1"/>
        <v>14816</v>
      </c>
      <c r="BL4" vm="2013">
        <f ca="1"/>
        <v>14808</v>
      </c>
      <c r="BM4" vm="2014">
        <f ca="1"/>
        <v>14692</v>
      </c>
      <c r="BN4" vm="2015">
        <f ca="1"/>
        <v>14612</v>
      </c>
      <c r="BO4" vm="2016">
        <f ca="1"/>
        <v>14453</v>
      </c>
      <c r="BP4" vm="2017">
        <f ca="1"/>
        <v>14956</v>
      </c>
      <c r="BQ4" vm="2018">
        <f ca="1"/>
        <v>14694</v>
      </c>
      <c r="BR4" vm="2019">
        <f ca="1"/>
        <v>14855</v>
      </c>
      <c r="BS4" vm="2020">
        <f ca="1"/>
        <v>14914</v>
      </c>
      <c r="BT4" vm="2021">
        <f ca="1"/>
        <v>14982</v>
      </c>
      <c r="BU4" vm="2022">
        <f ca="1"/>
        <v>14790</v>
      </c>
      <c r="BV4" vm="2023">
        <f ca="1"/>
        <v>14518</v>
      </c>
      <c r="BW4" vm="2024">
        <f ca="1"/>
        <v>14311</v>
      </c>
      <c r="BX4" vm="2025">
        <f ca="1"/>
        <v>14313</v>
      </c>
      <c r="BY4" vm="2026">
        <f ca="1"/>
        <v>14243</v>
      </c>
      <c r="BZ4" vm="2027">
        <f ca="1"/>
        <v>14367</v>
      </c>
      <c r="CA4" vm="2028">
        <f ca="1"/>
        <v>14004</v>
      </c>
      <c r="CB4" vm="2029">
        <f ca="1"/>
        <v>14047</v>
      </c>
      <c r="CC4" vm="2030">
        <f ca="1"/>
        <v>14571</v>
      </c>
      <c r="CD4" vm="2031">
        <f ca="1"/>
        <v>14506</v>
      </c>
      <c r="CE4" vm="2032">
        <f ca="1"/>
        <v>14165</v>
      </c>
      <c r="CF4" vm="2033">
        <f ca="1"/>
        <v>14315</v>
      </c>
      <c r="CG4" vm="2034">
        <f ca="1"/>
        <v>14473</v>
      </c>
      <c r="CH4" vm="2035">
        <f ca="1"/>
        <v>14983</v>
      </c>
      <c r="CI4" vm="2036">
        <f ca="1"/>
        <v>14716</v>
      </c>
      <c r="CJ4" vm="2037">
        <f ca="1"/>
        <v>15163</v>
      </c>
      <c r="CK4" vm="2038">
        <f ca="1"/>
        <v>15074</v>
      </c>
      <c r="CL4" vm="2039">
        <f ca="1"/>
        <v>15202</v>
      </c>
      <c r="CM4" vm="2040">
        <f ca="1"/>
        <v>15433</v>
      </c>
      <c r="CN4" vm="2041">
        <f ca="1"/>
        <v>15473</v>
      </c>
      <c r="CO4" vm="2042">
        <f ca="1"/>
        <v>15710</v>
      </c>
      <c r="CP4" vm="2043">
        <f ca="1"/>
        <v>15849</v>
      </c>
      <c r="CQ4" vm="2044">
        <f ca="1"/>
        <v>15786</v>
      </c>
      <c r="CR4" vm="2045">
        <f ca="1"/>
        <v>15898</v>
      </c>
      <c r="CS4" vm="2046">
        <f ca="1"/>
        <v>15823</v>
      </c>
      <c r="CT4" vm="2047">
        <f ca="1"/>
        <v>16099</v>
      </c>
      <c r="CU4" vm="2048">
        <f ca="1"/>
        <v>16107</v>
      </c>
      <c r="CV4" vm="2049">
        <f ca="1"/>
        <v>15960</v>
      </c>
      <c r="CW4" vm="2050">
        <f ca="1"/>
        <v>16281</v>
      </c>
      <c r="CX4" vm="2051">
        <f ca="1"/>
        <v>16112</v>
      </c>
      <c r="CY4" vm="2052">
        <f ca="1"/>
        <v>16556</v>
      </c>
      <c r="CZ4" vm="2053">
        <f ca="1"/>
        <v>16768</v>
      </c>
      <c r="DA4" vm="2054">
        <f ca="1"/>
        <v>16700</v>
      </c>
      <c r="DB4" vm="2055">
        <f ca="1"/>
        <v>16744</v>
      </c>
      <c r="DC4" vm="2056">
        <f ca="1"/>
        <v>16784</v>
      </c>
      <c r="DD4" vm="2057">
        <f ca="1"/>
        <v>16765</v>
      </c>
      <c r="DE4" vm="2058">
        <f ca="1"/>
        <v>16841</v>
      </c>
      <c r="DF4" vm="2059">
        <f ca="1"/>
        <v>16848</v>
      </c>
      <c r="DG4" vm="2060">
        <f ca="1"/>
        <v>17002</v>
      </c>
      <c r="DH4" vm="2061">
        <f ca="1"/>
        <v>16849</v>
      </c>
      <c r="DI4" vm="2062">
        <f ca="1"/>
        <v>16513</v>
      </c>
      <c r="DJ4" vm="2063">
        <f ca="1"/>
        <v>16663</v>
      </c>
      <c r="DK4" vm="2064">
        <f ca="1"/>
        <v>15864</v>
      </c>
      <c r="DL4" vm="2065">
        <f ca="1"/>
        <v>16088</v>
      </c>
      <c r="DM4" vm="2066">
        <f ca="1"/>
        <v>15828</v>
      </c>
      <c r="DN4" vm="2067">
        <f ca="1"/>
        <v>15952</v>
      </c>
      <c r="DO4" vm="2068">
        <f ca="1"/>
        <v>16191</v>
      </c>
      <c r="DP4" vm="2069">
        <f ca="1"/>
        <v>16756</v>
      </c>
      <c r="DQ4" vm="2070">
        <f ca="1"/>
        <v>16905</v>
      </c>
      <c r="DR4" vm="2071">
        <f ca="1"/>
        <v>16876</v>
      </c>
      <c r="DS4" vm="2072">
        <f ca="1"/>
        <v>16725</v>
      </c>
      <c r="DT4" vm="2073">
        <f ca="1"/>
        <v>16893</v>
      </c>
      <c r="DU4" vm="2074">
        <f ca="1"/>
        <v>17018</v>
      </c>
      <c r="DV4" vm="2075">
        <f ca="1"/>
        <v>16668</v>
      </c>
      <c r="DW4" vm="2076">
        <f ca="1"/>
        <v>16678</v>
      </c>
      <c r="DX4" vm="2077">
        <f ca="1"/>
        <v>16690</v>
      </c>
      <c r="DY4" vm="2078">
        <f ca="1"/>
        <v>17582</v>
      </c>
      <c r="DZ4" vm="2079">
        <f ca="1"/>
        <v>17553</v>
      </c>
      <c r="EA4" vm="2080">
        <f ca="1"/>
        <v>17759</v>
      </c>
      <c r="EB4" vm="2081">
        <f ca="1"/>
        <v>17852</v>
      </c>
      <c r="EC4" vm="2082">
        <f ca="1"/>
        <v>17855</v>
      </c>
      <c r="ED4" vm="2083">
        <f ca="1"/>
        <v>18006</v>
      </c>
      <c r="EE4" vm="2084">
        <f ca="1"/>
        <v>18002</v>
      </c>
      <c r="EF4" vm="2085">
        <f ca="1"/>
        <v>17897</v>
      </c>
      <c r="EG4" vm="2086">
        <f ca="1"/>
        <v>18041</v>
      </c>
      <c r="EH4" vm="2087">
        <f ca="1"/>
        <v>18103</v>
      </c>
      <c r="EI4" vm="2088">
        <f ca="1"/>
        <v>17985</v>
      </c>
      <c r="EJ4" vm="2089">
        <f ca="1"/>
        <v>18110</v>
      </c>
      <c r="EK4" vm="2089">
        <f ca="1"/>
        <v>18110</v>
      </c>
      <c r="EL4" vm="2090">
        <f ca="1"/>
        <v>18331</v>
      </c>
      <c r="EM4" vm="2091">
        <f ca="1"/>
        <v>18177</v>
      </c>
      <c r="EN4" vm="2092">
        <f ca="1"/>
        <v>18082</v>
      </c>
      <c r="EO4" vm="2093">
        <f ca="1"/>
        <v>18130</v>
      </c>
      <c r="EP4" vm="2094">
        <f ca="1"/>
        <v>18161</v>
      </c>
      <c r="EQ4" vm="2095">
        <f ca="1"/>
        <v>18202</v>
      </c>
      <c r="ER4" vm="2096">
        <f ca="1"/>
        <v>17511</v>
      </c>
      <c r="ES4" vm="2076">
        <f ca="1"/>
        <v>16678</v>
      </c>
      <c r="ET4" vm="2097">
        <f ca="1"/>
        <v>16322</v>
      </c>
      <c r="EU4" vm="2098">
        <f ca="1"/>
        <v>16453</v>
      </c>
      <c r="EV4" vm="2099">
        <f ca="1"/>
        <v>16591</v>
      </c>
      <c r="EW4" vm="2100">
        <f ca="1"/>
        <v>17041</v>
      </c>
      <c r="EX4" vm="2101">
        <f ca="1"/>
        <v>17232</v>
      </c>
      <c r="EY4" vm="2102">
        <f ca="1"/>
        <v>16859</v>
      </c>
      <c r="EZ4" vm="2103">
        <f ca="1"/>
        <v>17098</v>
      </c>
      <c r="FA4" vm="2104">
        <f ca="1"/>
        <v>17445</v>
      </c>
      <c r="FB4" vm="2105">
        <f ca="1"/>
        <v>17195</v>
      </c>
      <c r="FC4" vm="2106">
        <f ca="1"/>
        <v>16634</v>
      </c>
      <c r="FD4" vm="2107">
        <f ca="1"/>
        <v>16777</v>
      </c>
      <c r="FE4" vm="2108">
        <f ca="1"/>
        <v>16844</v>
      </c>
      <c r="FF4" vm="2054">
        <f ca="1"/>
        <v>16700</v>
      </c>
      <c r="FG4" vm="2109">
        <f ca="1"/>
        <v>16075</v>
      </c>
      <c r="FH4" vm="2110">
        <f ca="1"/>
        <v>16122</v>
      </c>
      <c r="FI4" vm="2111">
        <f ca="1"/>
        <v>15611</v>
      </c>
      <c r="FJ4" vm="2112">
        <f ca="1"/>
        <v>15490</v>
      </c>
      <c r="FK4" vm="2113">
        <f ca="1"/>
        <v>15505</v>
      </c>
      <c r="FL4" vm="2114">
        <f ca="1"/>
        <v>15372</v>
      </c>
      <c r="FM4" vm="2115">
        <f ca="1"/>
        <v>15512</v>
      </c>
      <c r="FN4" vm="2116">
        <f ca="1"/>
        <v>15644</v>
      </c>
      <c r="FO4" vm="2117">
        <f ca="1"/>
        <v>15494</v>
      </c>
      <c r="FP4" vm="2118">
        <f ca="1"/>
        <v>15485</v>
      </c>
      <c r="FQ4" vm="2119">
        <f ca="1"/>
        <v>15254</v>
      </c>
      <c r="FR4" vm="2120">
        <f ca="1"/>
        <v>15079</v>
      </c>
      <c r="FS4" vm="2121">
        <f ca="1"/>
        <v>14849</v>
      </c>
      <c r="FT4" vm="2122">
        <f ca="1"/>
        <v>14867</v>
      </c>
      <c r="FU4" vm="2123">
        <f ca="1"/>
        <v>15094</v>
      </c>
      <c r="FV4" vm="2124">
        <f ca="1"/>
        <v>15307</v>
      </c>
      <c r="FW4" vm="1986">
        <f ca="1"/>
        <v>15323</v>
      </c>
      <c r="FX4" vm="2125">
        <f ca="1"/>
        <v>15419</v>
      </c>
      <c r="FY4" vm="2126">
        <f ca="1"/>
        <v>15641</v>
      </c>
      <c r="FZ4" vm="2127">
        <f ca="1"/>
        <v>15697</v>
      </c>
      <c r="GA4" vm="2128">
        <f ca="1"/>
        <v>15540</v>
      </c>
      <c r="GB4" vm="2129">
        <f ca="1"/>
        <v>15313</v>
      </c>
      <c r="GC4" vm="2130">
        <f ca="1"/>
        <v>14965</v>
      </c>
      <c r="GD4" vm="2131">
        <f ca="1"/>
        <v>14669</v>
      </c>
      <c r="GE4" vm="2132">
        <f ca="1"/>
        <v>14401</v>
      </c>
      <c r="GF4" vm="2133">
        <f ca="1"/>
        <v>14825</v>
      </c>
      <c r="GG4" vm="2134">
        <f ca="1"/>
        <v>14643</v>
      </c>
      <c r="GH4" vm="2135">
        <f ca="1"/>
        <v>14601</v>
      </c>
      <c r="GI4" vm="2136">
        <f ca="1"/>
        <v>14566</v>
      </c>
      <c r="GJ4" vm="2137">
        <f ca="1"/>
        <v>14494</v>
      </c>
      <c r="GK4" vm="2138">
        <f ca="1"/>
        <v>14018</v>
      </c>
      <c r="GL4" vm="2139">
        <f ca="1"/>
        <v>13707</v>
      </c>
      <c r="GM4" vm="2140">
        <f ca="1"/>
        <v>13749</v>
      </c>
      <c r="GN4" vm="2141">
        <f ca="1"/>
        <v>13563</v>
      </c>
      <c r="GO4" vm="2142">
        <f ca="1"/>
        <v>13517</v>
      </c>
      <c r="GP4" vm="2143">
        <f ca="1"/>
        <v>12351</v>
      </c>
      <c r="GQ4" vm="2144">
        <f ca="1"/>
        <v>12988</v>
      </c>
      <c r="GR4" vm="2145">
        <f ca="1"/>
        <v>13379</v>
      </c>
      <c r="GS4" vm="2146">
        <f ca="1"/>
        <v>13737</v>
      </c>
      <c r="GT4" vm="2147">
        <f ca="1"/>
        <v>13628</v>
      </c>
      <c r="GU4" vm="2148">
        <f ca="1"/>
        <v>13274</v>
      </c>
      <c r="GV4" vm="2149">
        <f ca="1"/>
        <v>13299</v>
      </c>
      <c r="GW4" vm="2150">
        <f ca="1"/>
        <v>13268</v>
      </c>
      <c r="GX4" vm="2151">
        <f ca="1"/>
        <v>12845</v>
      </c>
      <c r="GY4" vm="2152">
        <f ca="1"/>
        <v>12832</v>
      </c>
      <c r="GZ4" vm="2153">
        <f ca="1"/>
        <v>12629</v>
      </c>
      <c r="HA4" vm="2154">
        <f ca="1"/>
        <v>12328</v>
      </c>
      <c r="HB4" vm="2155">
        <f ca="1"/>
        <v>11857</v>
      </c>
      <c r="HC4" vm="2156">
        <f ca="1"/>
        <v>11767</v>
      </c>
      <c r="HD4" vm="2157">
        <f ca="1"/>
        <v>12102</v>
      </c>
      <c r="HE4" vm="2158">
        <f ca="1"/>
        <v>12091</v>
      </c>
      <c r="HF4" vm="2159">
        <f ca="1"/>
        <v>12165</v>
      </c>
      <c r="HG4" vm="2160">
        <f ca="1"/>
        <v>12051</v>
      </c>
      <c r="HH4" vm="2161">
        <f ca="1"/>
        <v>11726</v>
      </c>
      <c r="HI4" vm="2162">
        <f ca="1"/>
        <v>11770</v>
      </c>
      <c r="HJ4" vm="2163">
        <f ca="1"/>
        <v>11987</v>
      </c>
      <c r="HK4" vm="2164">
        <f ca="1"/>
        <v>11902</v>
      </c>
      <c r="HL4" vm="2165">
        <f ca="1"/>
        <v>11842</v>
      </c>
      <c r="HM4" vm="2166">
        <f ca="1"/>
        <v>11238</v>
      </c>
      <c r="HN4" vm="2167">
        <f ca="1"/>
        <v>11103</v>
      </c>
      <c r="HO4" vm="2168">
        <f ca="1"/>
        <v>10732</v>
      </c>
      <c r="HP4" vm="2169">
        <f ca="1"/>
        <v>11024</v>
      </c>
      <c r="HQ4" vm="2170">
        <f ca="1"/>
        <v>10682</v>
      </c>
      <c r="HR4" vm="2171">
        <f ca="1"/>
        <v>10517</v>
      </c>
      <c r="HS4" vm="2172">
        <f ca="1"/>
        <v>10512</v>
      </c>
      <c r="HT4" vm="2173">
        <f ca="1"/>
        <v>10360</v>
      </c>
      <c r="HU4" vm="2174">
        <f ca="1"/>
        <v>10184</v>
      </c>
      <c r="HV4" vm="2175">
        <f ca="1"/>
        <v>10279</v>
      </c>
      <c r="HW4" vm="2176">
        <f ca="1"/>
        <v>10337</v>
      </c>
      <c r="HX4" vm="2177">
        <f ca="1"/>
        <v>10446</v>
      </c>
      <c r="HY4" vm="2178">
        <f ca="1"/>
        <v>10196</v>
      </c>
      <c r="HZ4" vm="2179">
        <f ca="1"/>
        <v>10339</v>
      </c>
      <c r="IA4" vm="2180">
        <f ca="1"/>
        <v>11031</v>
      </c>
      <c r="IB4" vm="2181">
        <f ca="1"/>
        <v>11678</v>
      </c>
      <c r="IC4" vm="2182">
        <f ca="1"/>
        <v>11376</v>
      </c>
      <c r="ID4" vm="2183">
        <f ca="1"/>
        <v>11502</v>
      </c>
      <c r="IE4" vm="2184">
        <f ca="1"/>
        <v>11757</v>
      </c>
      <c r="IF4" vm="2185">
        <f ca="1"/>
        <v>11609</v>
      </c>
      <c r="IG4" vm="2186">
        <f ca="1"/>
        <v>11741</v>
      </c>
    </row>
    <row r="6" spans="1:241" x14ac:dyDescent="0.4">
      <c r="A6" t="str" cm="1">
        <f t="array" aca="1" ref="A6:F20" ca="1">_xlfn.STOCKHISTORY(A4&amp;":"&amp;B4,TODAY()-30,TODAY(),0,1,0,5,2,3,4,1)</f>
        <v>Date</v>
      </c>
      <c r="B6" t="str">
        <f ca="1"/>
        <v>Volume</v>
      </c>
      <c r="C6" t="str">
        <f ca="1"/>
        <v>Open</v>
      </c>
      <c r="D6" t="str">
        <f ca="1"/>
        <v>High</v>
      </c>
      <c r="E6" t="str">
        <f ca="1"/>
        <v>Low</v>
      </c>
      <c r="F6" t="str">
        <f ca="1"/>
        <v>Close</v>
      </c>
    </row>
    <row r="7" spans="1:241" x14ac:dyDescent="0.4">
      <c r="A7" vm="227">
        <f ca="1"/>
        <v>46045</v>
      </c>
      <c r="B7" vm="2187">
        <f ca="1"/>
        <v>486607</v>
      </c>
      <c r="C7" vm="2188">
        <f ca="1"/>
        <v>10575</v>
      </c>
      <c r="D7" vm="2189">
        <f ca="1"/>
        <v>10664</v>
      </c>
      <c r="E7" vm="2190">
        <f ca="1"/>
        <v>10330</v>
      </c>
      <c r="F7" vm="2173">
        <f ca="1"/>
        <v>10360</v>
      </c>
    </row>
    <row r="8" spans="1:241" x14ac:dyDescent="0.4">
      <c r="A8" vm="228">
        <f ca="1"/>
        <v>46049</v>
      </c>
      <c r="B8" vm="2191">
        <f ca="1"/>
        <v>702193</v>
      </c>
      <c r="C8" vm="2192">
        <f ca="1"/>
        <v>10400</v>
      </c>
      <c r="D8" vm="2192">
        <f ca="1"/>
        <v>10400</v>
      </c>
      <c r="E8" vm="2193">
        <f ca="1"/>
        <v>9990</v>
      </c>
      <c r="F8" vm="2174">
        <f ca="1"/>
        <v>10184</v>
      </c>
    </row>
    <row r="9" spans="1:241" x14ac:dyDescent="0.4">
      <c r="A9" vm="229">
        <f ca="1"/>
        <v>46050</v>
      </c>
      <c r="B9" vm="2194">
        <f ca="1"/>
        <v>661357</v>
      </c>
      <c r="C9" vm="2195">
        <f ca="1"/>
        <v>10189</v>
      </c>
      <c r="D9" vm="2196">
        <f ca="1"/>
        <v>10350</v>
      </c>
      <c r="E9" vm="2197">
        <f ca="1"/>
        <v>10038</v>
      </c>
      <c r="F9" vm="2175">
        <f ca="1"/>
        <v>10279</v>
      </c>
    </row>
    <row r="10" spans="1:241" x14ac:dyDescent="0.4">
      <c r="A10" vm="230">
        <f ca="1"/>
        <v>46051</v>
      </c>
      <c r="B10" vm="2198">
        <f ca="1"/>
        <v>672993</v>
      </c>
      <c r="C10" vm="2199">
        <f ca="1"/>
        <v>10299</v>
      </c>
      <c r="D10" vm="2200">
        <f ca="1"/>
        <v>10436</v>
      </c>
      <c r="E10" vm="2201">
        <f ca="1"/>
        <v>10056</v>
      </c>
      <c r="F10" vm="2176">
        <f ca="1"/>
        <v>10337</v>
      </c>
    </row>
    <row r="11" spans="1:241" x14ac:dyDescent="0.4">
      <c r="A11" vm="231">
        <f ca="1"/>
        <v>46052</v>
      </c>
      <c r="B11" vm="2202">
        <f ca="1"/>
        <v>1996677</v>
      </c>
      <c r="C11" vm="2203">
        <f ca="1"/>
        <v>10100</v>
      </c>
      <c r="D11" vm="2204">
        <f ca="1"/>
        <v>10843</v>
      </c>
      <c r="E11" vm="2205">
        <f ca="1"/>
        <v>9835</v>
      </c>
      <c r="F11" vm="2177">
        <f ca="1"/>
        <v>10446</v>
      </c>
    </row>
    <row r="12" spans="1:241" x14ac:dyDescent="0.4">
      <c r="A12" vm="232">
        <f ca="1"/>
        <v>46054</v>
      </c>
      <c r="B12" vm="2206">
        <f ca="1"/>
        <v>1489233</v>
      </c>
      <c r="C12" vm="2207">
        <f ca="1"/>
        <v>10590</v>
      </c>
      <c r="D12" vm="2208">
        <f ca="1"/>
        <v>11026</v>
      </c>
      <c r="E12" vm="2209">
        <f ca="1"/>
        <v>9968</v>
      </c>
      <c r="F12" vm="2178">
        <f ca="1"/>
        <v>10196</v>
      </c>
    </row>
    <row r="13" spans="1:241" x14ac:dyDescent="0.4">
      <c r="A13" vm="233">
        <f ca="1"/>
        <v>46055</v>
      </c>
      <c r="B13" vm="2210">
        <f ca="1"/>
        <v>822592</v>
      </c>
      <c r="C13" vm="2211">
        <f ca="1"/>
        <v>10250</v>
      </c>
      <c r="D13" vm="2212">
        <f ca="1"/>
        <v>10530</v>
      </c>
      <c r="E13" vm="2213">
        <f ca="1"/>
        <v>10102</v>
      </c>
      <c r="F13" vm="2179">
        <f ca="1"/>
        <v>10339</v>
      </c>
    </row>
    <row r="14" spans="1:241" x14ac:dyDescent="0.4">
      <c r="A14" vm="234">
        <f ca="1"/>
        <v>46056</v>
      </c>
      <c r="B14" vm="2214">
        <f ca="1"/>
        <v>1584528</v>
      </c>
      <c r="C14" vm="2215">
        <f ca="1"/>
        <v>11100</v>
      </c>
      <c r="D14" vm="2216">
        <f ca="1"/>
        <v>11200</v>
      </c>
      <c r="E14" vm="2217">
        <f ca="1"/>
        <v>10852</v>
      </c>
      <c r="F14" vm="2180">
        <f ca="1"/>
        <v>11031</v>
      </c>
    </row>
    <row r="15" spans="1:241" x14ac:dyDescent="0.4">
      <c r="A15" vm="235">
        <f ca="1"/>
        <v>46057</v>
      </c>
      <c r="B15" vm="2218">
        <f ca="1"/>
        <v>1509099</v>
      </c>
      <c r="C15" vm="2219">
        <f ca="1"/>
        <v>11032</v>
      </c>
      <c r="D15" vm="2220">
        <f ca="1"/>
        <v>11713</v>
      </c>
      <c r="E15" vm="2221">
        <f ca="1"/>
        <v>10926</v>
      </c>
      <c r="F15" vm="2181">
        <f ca="1"/>
        <v>11678</v>
      </c>
    </row>
    <row r="16" spans="1:241" x14ac:dyDescent="0.4">
      <c r="A16" vm="236">
        <f ca="1"/>
        <v>46058</v>
      </c>
      <c r="B16" vm="2222">
        <f ca="1"/>
        <v>1047347</v>
      </c>
      <c r="C16" vm="2223">
        <f ca="1"/>
        <v>11700</v>
      </c>
      <c r="D16" vm="2220">
        <f ca="1"/>
        <v>11713</v>
      </c>
      <c r="E16" vm="2224">
        <f ca="1"/>
        <v>11154</v>
      </c>
      <c r="F16" vm="2182">
        <f ca="1"/>
        <v>11376</v>
      </c>
    </row>
    <row r="17" spans="1:6" x14ac:dyDescent="0.4">
      <c r="A17" vm="237">
        <f ca="1"/>
        <v>46059</v>
      </c>
      <c r="B17" vm="2225">
        <f ca="1"/>
        <v>477648</v>
      </c>
      <c r="C17" vm="2226">
        <f ca="1"/>
        <v>11349</v>
      </c>
      <c r="D17" vm="2227">
        <f ca="1"/>
        <v>11549</v>
      </c>
      <c r="E17" vm="2228">
        <f ca="1"/>
        <v>11172</v>
      </c>
      <c r="F17" vm="2183">
        <f ca="1"/>
        <v>11502</v>
      </c>
    </row>
    <row r="18" spans="1:6" x14ac:dyDescent="0.4">
      <c r="A18" vm="238">
        <f ca="1"/>
        <v>46062</v>
      </c>
      <c r="B18" vm="2229">
        <f ca="1"/>
        <v>485574</v>
      </c>
      <c r="C18" vm="2230">
        <f ca="1"/>
        <v>11655</v>
      </c>
      <c r="D18" vm="2231">
        <f ca="1"/>
        <v>11845</v>
      </c>
      <c r="E18" vm="2232">
        <f ca="1"/>
        <v>11550</v>
      </c>
      <c r="F18" vm="2184">
        <f ca="1"/>
        <v>11757</v>
      </c>
    </row>
    <row r="19" spans="1:6" x14ac:dyDescent="0.4">
      <c r="A19" vm="239">
        <f ca="1"/>
        <v>46063</v>
      </c>
      <c r="B19" vm="2233">
        <f ca="1"/>
        <v>546495</v>
      </c>
      <c r="C19" vm="2234">
        <f ca="1"/>
        <v>11820</v>
      </c>
      <c r="D19" vm="2235">
        <f ca="1"/>
        <v>11847</v>
      </c>
      <c r="E19" vm="2236">
        <f ca="1"/>
        <v>11563</v>
      </c>
      <c r="F19" vm="2185">
        <f ca="1"/>
        <v>11609</v>
      </c>
    </row>
    <row r="20" spans="1:6" x14ac:dyDescent="0.4">
      <c r="A20" vm="240">
        <f ca="1"/>
        <v>46064</v>
      </c>
      <c r="B20" vm="2237">
        <f ca="1"/>
        <v>448093</v>
      </c>
      <c r="C20" vm="2238">
        <f ca="1"/>
        <v>11640</v>
      </c>
      <c r="D20" vm="2239">
        <f ca="1"/>
        <v>11766</v>
      </c>
      <c r="E20" vm="2240">
        <f ca="1"/>
        <v>11490</v>
      </c>
      <c r="F20" vm="2186">
        <f ca="1"/>
        <v>11741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3FE7C-10CC-4725-8833-FE131BC43407}">
  <dimension ref="A1:IG20"/>
  <sheetViews>
    <sheetView zoomScale="79" workbookViewId="0">
      <selection activeCell="G12" sqref="G12"/>
    </sheetView>
  </sheetViews>
  <sheetFormatPr defaultRowHeight="14.6" x14ac:dyDescent="0.4"/>
  <cols>
    <col min="1" max="1" width="11.15234375" bestFit="1" customWidth="1"/>
    <col min="2" max="2" width="40.4609375" bestFit="1" customWidth="1"/>
    <col min="3" max="6" width="10.15234375" bestFit="1" customWidth="1"/>
    <col min="7" max="17" width="10.07421875" bestFit="1" customWidth="1"/>
  </cols>
  <sheetData>
    <row r="1" spans="1:241" x14ac:dyDescent="0.4">
      <c r="A1" s="6" t="s">
        <v>11</v>
      </c>
      <c r="B1" t="e" vm="1951">
        <v>#VALUE!</v>
      </c>
    </row>
    <row r="3" spans="1:241" x14ac:dyDescent="0.4">
      <c r="A3" s="6" t="s">
        <v>30</v>
      </c>
      <c r="B3" s="6" t="s">
        <v>22</v>
      </c>
      <c r="C3" cm="1" vm="2241">
        <f t="array" aca="1" ref="C3:IG3" ca="1">TRANSPOSE(_xlfn.STOCKHISTORY(A4&amp;":"&amp;B4,TODAY()-365,TODAY(),0,0,1))</f>
        <v>3257.7</v>
      </c>
      <c r="D3" vm="2242">
        <f ca="1"/>
        <v>3225.9</v>
      </c>
      <c r="E3" vm="2243">
        <f ca="1"/>
        <v>3209.5</v>
      </c>
      <c r="F3" vm="2244">
        <f ca="1"/>
        <v>3163.85</v>
      </c>
      <c r="G3" vm="2245">
        <f ca="1"/>
        <v>3197.3</v>
      </c>
      <c r="H3" vm="2246">
        <f ca="1"/>
        <v>3213</v>
      </c>
      <c r="I3" vm="2247">
        <f ca="1"/>
        <v>3239.65</v>
      </c>
      <c r="J3" vm="2248">
        <f ca="1"/>
        <v>3259.9</v>
      </c>
      <c r="K3" vm="2249">
        <f ca="1"/>
        <v>3244.7</v>
      </c>
      <c r="L3" vm="2250">
        <f ca="1"/>
        <v>3177.7</v>
      </c>
      <c r="M3" vm="2251">
        <f ca="1"/>
        <v>3195.45</v>
      </c>
      <c r="N3" vm="2252">
        <f ca="1"/>
        <v>3193.65</v>
      </c>
      <c r="O3" vm="2253">
        <f ca="1"/>
        <v>3187.3</v>
      </c>
      <c r="P3" vm="2254">
        <f ca="1"/>
        <v>3173.45</v>
      </c>
      <c r="Q3" vm="2255">
        <f ca="1"/>
        <v>3270.7</v>
      </c>
      <c r="R3" vm="2256">
        <f ca="1"/>
        <v>3319.55</v>
      </c>
      <c r="S3" vm="2257">
        <f ca="1"/>
        <v>3351.05</v>
      </c>
      <c r="T3" vm="2258">
        <f ca="1"/>
        <v>3415.95</v>
      </c>
      <c r="U3" vm="2259">
        <f ca="1"/>
        <v>3481.85</v>
      </c>
      <c r="V3" vm="2260">
        <f ca="1"/>
        <v>3469.6</v>
      </c>
      <c r="W3" vm="2261">
        <f ca="1"/>
        <v>3444.8</v>
      </c>
      <c r="X3" vm="2262">
        <f ca="1"/>
        <v>3501.6</v>
      </c>
      <c r="Y3" vm="2263">
        <f ca="1"/>
        <v>3492.3</v>
      </c>
      <c r="Z3" vm="2264">
        <f ca="1"/>
        <v>3436.8</v>
      </c>
      <c r="AA3" vm="2265">
        <f ca="1"/>
        <v>3419.9</v>
      </c>
      <c r="AB3" vm="2266">
        <f ca="1"/>
        <v>3420.15</v>
      </c>
      <c r="AC3" vm="2267">
        <f ca="1"/>
        <v>3260.15</v>
      </c>
      <c r="AD3" vm="2268">
        <f ca="1"/>
        <v>3068.5</v>
      </c>
      <c r="AE3" vm="2269">
        <f ca="1"/>
        <v>3161.1</v>
      </c>
      <c r="AF3" vm="2270">
        <f ca="1"/>
        <v>3054.15</v>
      </c>
      <c r="AG3" vm="2271">
        <f ca="1"/>
        <v>3115.95</v>
      </c>
      <c r="AH3" vm="2272">
        <f ca="1"/>
        <v>3257.6</v>
      </c>
      <c r="AI3" vm="2273">
        <f ca="1"/>
        <v>3227.7</v>
      </c>
      <c r="AJ3" vm="2274">
        <f ca="1"/>
        <v>3247.3</v>
      </c>
      <c r="AK3" vm="2275">
        <f ca="1"/>
        <v>3280.5</v>
      </c>
      <c r="AL3" vm="2276">
        <f ca="1"/>
        <v>3257.8</v>
      </c>
      <c r="AM3" vm="2277">
        <f ca="1"/>
        <v>3301</v>
      </c>
      <c r="AN3" vm="2278">
        <f ca="1"/>
        <v>3300.6</v>
      </c>
      <c r="AO3" vm="2279">
        <f ca="1"/>
        <v>3272.1</v>
      </c>
      <c r="AP3" vm="2280">
        <f ca="1"/>
        <v>3327.3</v>
      </c>
      <c r="AQ3" vm="2281">
        <f ca="1"/>
        <v>3322.3</v>
      </c>
      <c r="AR3" vm="2282">
        <f ca="1"/>
        <v>3341</v>
      </c>
      <c r="AS3" vm="2283">
        <f ca="1"/>
        <v>3329.8</v>
      </c>
      <c r="AT3" vm="2284">
        <f ca="1"/>
        <v>3330.2</v>
      </c>
      <c r="AU3" vm="2285">
        <f ca="1"/>
        <v>3334</v>
      </c>
      <c r="AV3" vm="2286">
        <f ca="1"/>
        <v>3321.4</v>
      </c>
      <c r="AW3" vm="2287">
        <f ca="1"/>
        <v>3323.9</v>
      </c>
      <c r="AX3" vm="2288">
        <f ca="1"/>
        <v>3443.9</v>
      </c>
      <c r="AY3" vm="2289">
        <f ca="1"/>
        <v>3587.2</v>
      </c>
      <c r="AZ3" vm="2290">
        <f ca="1"/>
        <v>3567</v>
      </c>
      <c r="BA3" vm="2291">
        <f ca="1"/>
        <v>3573.1</v>
      </c>
      <c r="BB3" vm="2292">
        <f ca="1"/>
        <v>3618.2</v>
      </c>
      <c r="BC3" vm="2293">
        <f ca="1"/>
        <v>3604.7</v>
      </c>
      <c r="BD3" vm="2294">
        <f ca="1"/>
        <v>3600.2</v>
      </c>
      <c r="BE3" vm="2295">
        <f ca="1"/>
        <v>3567.8</v>
      </c>
      <c r="BF3" vm="2296">
        <f ca="1"/>
        <v>3589</v>
      </c>
      <c r="BG3" vm="2297">
        <f ca="1"/>
        <v>3551.4</v>
      </c>
      <c r="BH3" vm="2298">
        <f ca="1"/>
        <v>3599.9</v>
      </c>
      <c r="BI3" vm="2299">
        <f ca="1"/>
        <v>3648.7</v>
      </c>
      <c r="BJ3" vm="2300">
        <f ca="1"/>
        <v>3640</v>
      </c>
      <c r="BK3" vm="2301">
        <f ca="1"/>
        <v>3646.3</v>
      </c>
      <c r="BL3" vm="2302">
        <f ca="1"/>
        <v>3655.3</v>
      </c>
      <c r="BM3" vm="2303">
        <f ca="1"/>
        <v>3675.1</v>
      </c>
      <c r="BN3" vm="2304">
        <f ca="1"/>
        <v>3679.6</v>
      </c>
      <c r="BO3" vm="2305">
        <f ca="1"/>
        <v>3644.8</v>
      </c>
      <c r="BP3" vm="2306">
        <f ca="1"/>
        <v>3626.5</v>
      </c>
      <c r="BQ3" vm="2307">
        <f ca="1"/>
        <v>3642.6</v>
      </c>
      <c r="BR3" vm="2308">
        <f ca="1"/>
        <v>3656.3</v>
      </c>
      <c r="BS3" vm="2309">
        <f ca="1"/>
        <v>3678.9</v>
      </c>
      <c r="BT3" vm="2310">
        <f ca="1"/>
        <v>3679.8</v>
      </c>
      <c r="BU3" vm="2311">
        <f ca="1"/>
        <v>3684.8</v>
      </c>
      <c r="BV3" vm="2312">
        <f ca="1"/>
        <v>3603.9</v>
      </c>
      <c r="BW3" vm="2313">
        <f ca="1"/>
        <v>3587.4</v>
      </c>
      <c r="BX3" vm="2314">
        <f ca="1"/>
        <v>3628.7</v>
      </c>
      <c r="BY3" vm="2315">
        <f ca="1"/>
        <v>3622.3</v>
      </c>
      <c r="BZ3" vm="2316">
        <f ca="1"/>
        <v>3601.5</v>
      </c>
      <c r="CA3" vm="2317">
        <f ca="1"/>
        <v>3621.1</v>
      </c>
      <c r="CB3" vm="2318">
        <f ca="1"/>
        <v>3662</v>
      </c>
      <c r="CC3" vm="2319">
        <f ca="1"/>
        <v>3583.7</v>
      </c>
      <c r="CD3" vm="2320">
        <f ca="1"/>
        <v>3604.8</v>
      </c>
      <c r="CE3" vm="2321">
        <f ca="1"/>
        <v>3619.8</v>
      </c>
      <c r="CF3" vm="2322">
        <f ca="1"/>
        <v>3659.6</v>
      </c>
      <c r="CG3" vm="2323">
        <f ca="1"/>
        <v>3679.2</v>
      </c>
      <c r="CH3" vm="2324">
        <f ca="1"/>
        <v>3669.8</v>
      </c>
      <c r="CI3" vm="2325">
        <f ca="1"/>
        <v>3666.7</v>
      </c>
      <c r="CJ3" vm="2326">
        <f ca="1"/>
        <v>3596.8</v>
      </c>
      <c r="CK3" vm="2327">
        <f ca="1"/>
        <v>3582.9</v>
      </c>
      <c r="CL3" vm="2328">
        <f ca="1"/>
        <v>3594.6</v>
      </c>
      <c r="CM3" vm="2329">
        <f ca="1"/>
        <v>3581.4</v>
      </c>
      <c r="CN3" vm="2330">
        <f ca="1"/>
        <v>3606.4</v>
      </c>
      <c r="CO3" vm="2331">
        <f ca="1"/>
        <v>3579.7</v>
      </c>
      <c r="CP3" vm="2332">
        <f ca="1"/>
        <v>3574.7</v>
      </c>
      <c r="CQ3" vm="2333">
        <f ca="1"/>
        <v>3540.6</v>
      </c>
      <c r="CR3" vm="2334">
        <f ca="1"/>
        <v>3495.9</v>
      </c>
      <c r="CS3" vm="2335">
        <f ca="1"/>
        <v>3494</v>
      </c>
      <c r="CT3" vm="2336">
        <f ca="1"/>
        <v>3503.8</v>
      </c>
      <c r="CU3" vm="2337">
        <f ca="1"/>
        <v>3474</v>
      </c>
      <c r="CV3" vm="2338">
        <f ca="1"/>
        <v>3464.8</v>
      </c>
      <c r="CW3" vm="2339">
        <f ca="1"/>
        <v>3502.8</v>
      </c>
      <c r="CX3" vm="2340">
        <f ca="1"/>
        <v>3464.6</v>
      </c>
      <c r="CY3" vm="2341">
        <f ca="1"/>
        <v>3484.9</v>
      </c>
      <c r="CZ3" vm="2342">
        <f ca="1"/>
        <v>3477.5</v>
      </c>
      <c r="DA3" vm="2343">
        <f ca="1"/>
        <v>3442.9</v>
      </c>
      <c r="DB3" vm="2344">
        <f ca="1"/>
        <v>3422.2</v>
      </c>
      <c r="DC3" vm="2345">
        <f ca="1"/>
        <v>3495.6</v>
      </c>
      <c r="DD3" vm="2346">
        <f ca="1"/>
        <v>3665.1</v>
      </c>
      <c r="DE3" vm="2347">
        <f ca="1"/>
        <v>3636.5</v>
      </c>
      <c r="DF3" vm="2348">
        <f ca="1"/>
        <v>3587.3</v>
      </c>
      <c r="DG3" vm="2349">
        <f ca="1"/>
        <v>3631.1</v>
      </c>
      <c r="DH3" vm="2350">
        <f ca="1"/>
        <v>3652.6</v>
      </c>
      <c r="DI3" vm="2351">
        <f ca="1"/>
        <v>3628.4</v>
      </c>
      <c r="DJ3" vm="2352">
        <f ca="1"/>
        <v>3641.6</v>
      </c>
      <c r="DK3" vm="2353">
        <f ca="1"/>
        <v>3607.6</v>
      </c>
      <c r="DL3" vm="2354">
        <f ca="1"/>
        <v>3668.4</v>
      </c>
      <c r="DM3" vm="2355">
        <f ca="1"/>
        <v>3686.1</v>
      </c>
      <c r="DN3" vm="2356">
        <f ca="1"/>
        <v>3693.7</v>
      </c>
      <c r="DO3" vm="2357">
        <f ca="1"/>
        <v>3677</v>
      </c>
      <c r="DP3" vm="2358">
        <f ca="1"/>
        <v>3635.1</v>
      </c>
      <c r="DQ3" vm="2359">
        <f ca="1"/>
        <v>3613</v>
      </c>
      <c r="DR3" vm="2360">
        <f ca="1"/>
        <v>3592.3</v>
      </c>
      <c r="DS3" vm="2361">
        <f ca="1"/>
        <v>3612.6</v>
      </c>
      <c r="DT3" vm="2362">
        <f ca="1"/>
        <v>3595.8</v>
      </c>
      <c r="DU3" vm="2363">
        <f ca="1"/>
        <v>3603.1</v>
      </c>
      <c r="DV3" vm="2364">
        <f ca="1"/>
        <v>3541.3</v>
      </c>
      <c r="DW3" vm="2365">
        <f ca="1"/>
        <v>3560.1</v>
      </c>
      <c r="DX3" vm="2366">
        <f ca="1"/>
        <v>3601</v>
      </c>
      <c r="DY3" vm="2367">
        <f ca="1"/>
        <v>3598.4</v>
      </c>
      <c r="DZ3" vm="2368">
        <f ca="1"/>
        <v>3574.9</v>
      </c>
      <c r="EA3" vm="2369">
        <f ca="1"/>
        <v>3600.8</v>
      </c>
      <c r="EB3" vm="2370">
        <f ca="1"/>
        <v>3592.6</v>
      </c>
      <c r="EC3" vm="2371">
        <f ca="1"/>
        <v>3553.6</v>
      </c>
      <c r="ED3" vm="2372">
        <f ca="1"/>
        <v>3529.6</v>
      </c>
      <c r="EE3" vm="2373">
        <f ca="1"/>
        <v>3525</v>
      </c>
      <c r="EF3" vm="2374">
        <f ca="1"/>
        <v>3550</v>
      </c>
      <c r="EG3" vm="2375">
        <f ca="1"/>
        <v>3539.7</v>
      </c>
      <c r="EH3" vm="2376">
        <f ca="1"/>
        <v>3579.8</v>
      </c>
      <c r="EI3" vm="2377">
        <f ca="1"/>
        <v>3586.2</v>
      </c>
      <c r="EJ3" vm="2378">
        <f ca="1"/>
        <v>3667.8</v>
      </c>
      <c r="EK3" vm="2379">
        <f ca="1"/>
        <v>3685.5</v>
      </c>
      <c r="EL3" vm="2380">
        <f ca="1"/>
        <v>3686</v>
      </c>
      <c r="EM3" vm="2381">
        <f ca="1"/>
        <v>3675.4</v>
      </c>
      <c r="EN3" vm="2382">
        <f ca="1"/>
        <v>3644.5</v>
      </c>
      <c r="EO3" vm="2383">
        <f ca="1"/>
        <v>3657.6</v>
      </c>
      <c r="EP3" vm="2384">
        <f ca="1"/>
        <v>3673.8</v>
      </c>
      <c r="EQ3" vm="2385">
        <f ca="1"/>
        <v>3644.4</v>
      </c>
      <c r="ER3" vm="2386">
        <f ca="1"/>
        <v>3729.5</v>
      </c>
      <c r="ES3" vm="2387">
        <f ca="1"/>
        <v>3688.4</v>
      </c>
      <c r="ET3" vm="2388">
        <f ca="1"/>
        <v>3659</v>
      </c>
      <c r="EU3" vm="2389">
        <f ca="1"/>
        <v>3670.3</v>
      </c>
      <c r="EV3" vm="2390">
        <f ca="1"/>
        <v>3733.1</v>
      </c>
      <c r="EW3" vm="2391">
        <f ca="1"/>
        <v>3737</v>
      </c>
      <c r="EX3" vm="2392">
        <f ca="1"/>
        <v>3729.7</v>
      </c>
      <c r="EY3" vm="2393">
        <f ca="1"/>
        <v>3729.8</v>
      </c>
      <c r="EZ3" vm="2394">
        <f ca="1"/>
        <v>3769.2</v>
      </c>
      <c r="FA3" vm="2395">
        <f ca="1"/>
        <v>3784</v>
      </c>
      <c r="FB3" vm="2396">
        <f ca="1"/>
        <v>3769.5</v>
      </c>
      <c r="FC3" vm="2397">
        <f ca="1"/>
        <v>3744.3</v>
      </c>
      <c r="FD3" vm="2398">
        <f ca="1"/>
        <v>3828.7</v>
      </c>
      <c r="FE3" vm="2399">
        <f ca="1"/>
        <v>3861.8</v>
      </c>
      <c r="FF3" vm="2400">
        <f ca="1"/>
        <v>3839.4</v>
      </c>
      <c r="FG3" vm="2401">
        <f ca="1"/>
        <v>3872.7</v>
      </c>
      <c r="FH3" vm="2402">
        <f ca="1"/>
        <v>3888.2</v>
      </c>
      <c r="FI3" vm="2403">
        <f ca="1"/>
        <v>3918.7</v>
      </c>
      <c r="FJ3" vm="2404">
        <f ca="1"/>
        <v>3904.9</v>
      </c>
      <c r="FK3" vm="2405">
        <f ca="1"/>
        <v>3923.8</v>
      </c>
      <c r="FL3" vm="2406">
        <f ca="1"/>
        <v>3972.8</v>
      </c>
      <c r="FM3" vm="2407">
        <f ca="1"/>
        <v>3958.1</v>
      </c>
      <c r="FN3" vm="2408">
        <f ca="1"/>
        <v>3987.5</v>
      </c>
      <c r="FO3" vm="2409">
        <f ca="1"/>
        <v>4030.9</v>
      </c>
      <c r="FP3" vm="2410">
        <f ca="1"/>
        <v>3980.5</v>
      </c>
      <c r="FQ3" vm="2411">
        <f ca="1"/>
        <v>3924.4</v>
      </c>
      <c r="FR3" vm="2412">
        <f ca="1"/>
        <v>3881.6</v>
      </c>
      <c r="FS3" vm="2413">
        <f ca="1"/>
        <v>3882.5</v>
      </c>
      <c r="FT3" vm="2414">
        <f ca="1"/>
        <v>3918.5</v>
      </c>
      <c r="FU3" vm="2415">
        <f ca="1"/>
        <v>3955</v>
      </c>
      <c r="FV3" vm="2416">
        <f ca="1"/>
        <v>3954.6</v>
      </c>
      <c r="FW3" vm="2417">
        <f ca="1"/>
        <v>4002.5</v>
      </c>
      <c r="FX3" vm="2418">
        <f ca="1"/>
        <v>4004.4</v>
      </c>
      <c r="FY3" vm="2419">
        <f ca="1"/>
        <v>4027.7</v>
      </c>
      <c r="FZ3" vm="2420">
        <f ca="1"/>
        <v>3999.6</v>
      </c>
      <c r="GA3" vm="2421">
        <f ca="1"/>
        <v>4019.6</v>
      </c>
      <c r="GB3" vm="2422">
        <f ca="1"/>
        <v>4037.4</v>
      </c>
      <c r="GC3" vm="2423">
        <f ca="1"/>
        <v>4024.9</v>
      </c>
      <c r="GD3" vm="2424">
        <f ca="1"/>
        <v>4013.3</v>
      </c>
      <c r="GE3" vm="2425">
        <f ca="1"/>
        <v>3996.7</v>
      </c>
      <c r="GF3" vm="2426">
        <f ca="1"/>
        <v>4062</v>
      </c>
      <c r="GG3" vm="2427">
        <f ca="1"/>
        <v>4081.3</v>
      </c>
      <c r="GH3" vm="2428">
        <f ca="1"/>
        <v>4069.6</v>
      </c>
      <c r="GI3" vm="2429">
        <f ca="1"/>
        <v>4073.2</v>
      </c>
      <c r="GJ3" vm="2430">
        <f ca="1"/>
        <v>4030.5</v>
      </c>
      <c r="GK3" vm="2431">
        <f ca="1"/>
        <v>3988</v>
      </c>
      <c r="GL3" vm="2432">
        <f ca="1"/>
        <v>3983.6</v>
      </c>
      <c r="GM3" vm="2433">
        <f ca="1"/>
        <v>4038.2</v>
      </c>
      <c r="GN3" vm="2425">
        <f ca="1"/>
        <v>3996.7</v>
      </c>
      <c r="GO3" vm="2434">
        <f ca="1"/>
        <v>3997.5</v>
      </c>
      <c r="GP3" vm="2435">
        <f ca="1"/>
        <v>3991.3</v>
      </c>
      <c r="GQ3" vm="2436">
        <f ca="1"/>
        <v>4003.9</v>
      </c>
      <c r="GR3" vm="2437">
        <f ca="1"/>
        <v>4074.1</v>
      </c>
      <c r="GS3" vm="2438">
        <f ca="1"/>
        <v>4092.3</v>
      </c>
      <c r="GT3" vm="2439">
        <f ca="1"/>
        <v>4063.8</v>
      </c>
      <c r="GU3" vm="2440">
        <f ca="1"/>
        <v>4062.4</v>
      </c>
      <c r="GV3" vm="2441">
        <f ca="1"/>
        <v>4031.1</v>
      </c>
      <c r="GW3" vm="2442">
        <f ca="1"/>
        <v>4073.5</v>
      </c>
      <c r="GX3" vm="2443">
        <f ca="1"/>
        <v>4072.4</v>
      </c>
      <c r="GY3" vm="2444">
        <f ca="1"/>
        <v>4058.8</v>
      </c>
      <c r="GZ3" vm="2445">
        <f ca="1"/>
        <v>4053.6</v>
      </c>
      <c r="HA3" vm="2446">
        <f ca="1"/>
        <v>4047.3</v>
      </c>
      <c r="HB3" vm="2447">
        <f ca="1"/>
        <v>4038.7</v>
      </c>
      <c r="HC3" vm="2448">
        <f ca="1"/>
        <v>4052</v>
      </c>
      <c r="HD3" vm="2449">
        <f ca="1"/>
        <v>4083.5</v>
      </c>
      <c r="HE3" vm="2450">
        <f ca="1"/>
        <v>4140.3999999999996</v>
      </c>
      <c r="HF3" vm="2451">
        <f ca="1"/>
        <v>4163.3999999999996</v>
      </c>
      <c r="HG3" vm="2452">
        <f ca="1"/>
        <v>4150.3999999999996</v>
      </c>
      <c r="HH3" vm="2453">
        <f ca="1"/>
        <v>4140.6000000000004</v>
      </c>
      <c r="HI3" vm="2454">
        <f ca="1"/>
        <v>4157</v>
      </c>
      <c r="HJ3" vm="2455">
        <f ca="1"/>
        <v>4028.4</v>
      </c>
      <c r="HK3" vm="2456">
        <f ca="1"/>
        <v>4025.2</v>
      </c>
      <c r="HL3" vm="2457">
        <f ca="1"/>
        <v>4019</v>
      </c>
      <c r="HM3" vm="2458">
        <f ca="1"/>
        <v>3887.4</v>
      </c>
      <c r="HN3" vm="2459">
        <f ca="1"/>
        <v>3865.8</v>
      </c>
      <c r="HO3" vm="2460">
        <f ca="1"/>
        <v>3856.4</v>
      </c>
      <c r="HP3" vm="2461">
        <f ca="1"/>
        <v>3869.8</v>
      </c>
      <c r="HQ3" vm="2462">
        <f ca="1"/>
        <v>3810.5</v>
      </c>
      <c r="HR3" vm="2463">
        <f ca="1"/>
        <v>3766.5</v>
      </c>
      <c r="HS3" vm="2464">
        <f ca="1"/>
        <v>3793.8</v>
      </c>
      <c r="HT3" vm="2465">
        <f ca="1"/>
        <v>3743.8</v>
      </c>
      <c r="HU3" vm="2466">
        <f ca="1"/>
        <v>3787.8</v>
      </c>
      <c r="HV3" vm="2467">
        <f ca="1"/>
        <v>3794</v>
      </c>
      <c r="HW3" vm="2468">
        <f ca="1"/>
        <v>3932.9</v>
      </c>
      <c r="HX3" vm="2469">
        <f ca="1"/>
        <v>3932.3</v>
      </c>
      <c r="HY3" vm="2470">
        <f ca="1"/>
        <v>3814</v>
      </c>
      <c r="HZ3" vm="2471">
        <f ca="1"/>
        <v>3921.3</v>
      </c>
      <c r="IA3" vm="2472">
        <f ca="1"/>
        <v>4038.8</v>
      </c>
      <c r="IB3" vm="2473">
        <f ca="1"/>
        <v>4087.1</v>
      </c>
      <c r="IC3" vm="2474">
        <f ca="1"/>
        <v>4063.3</v>
      </c>
      <c r="ID3" vm="2475">
        <f ca="1"/>
        <v>4068.1</v>
      </c>
      <c r="IE3" vm="2476">
        <f ca="1"/>
        <v>4113.6000000000004</v>
      </c>
      <c r="IF3" vm="2477">
        <f ca="1"/>
        <v>4169</v>
      </c>
      <c r="IG3" vm="2478">
        <f ca="1"/>
        <v>4170.3999999999996</v>
      </c>
    </row>
    <row r="4" spans="1:241" x14ac:dyDescent="0.4">
      <c r="A4" t="s">
        <v>27</v>
      </c>
      <c r="B4" t="s">
        <v>29</v>
      </c>
    </row>
    <row r="6" spans="1:241" x14ac:dyDescent="0.4">
      <c r="A6" t="str" cm="1">
        <f t="array" aca="1" ref="A6:F20" ca="1">_xlfn.STOCKHISTORY(A4&amp;":"&amp;B4,TODAY()-30,TODAY(),0,1,0,5,2,3,4,1)</f>
        <v>Date</v>
      </c>
      <c r="B6" t="str">
        <f ca="1"/>
        <v>Volume</v>
      </c>
      <c r="C6" t="str">
        <f ca="1"/>
        <v>Open</v>
      </c>
      <c r="D6" t="str">
        <f ca="1"/>
        <v>High</v>
      </c>
      <c r="E6" t="str">
        <f ca="1"/>
        <v>Low</v>
      </c>
      <c r="F6" t="str">
        <f ca="1"/>
        <v>Close</v>
      </c>
    </row>
    <row r="7" spans="1:241" x14ac:dyDescent="0.4">
      <c r="A7" vm="227">
        <f ca="1"/>
        <v>46045</v>
      </c>
      <c r="B7" vm="2479">
        <f ca="1"/>
        <v>1898703</v>
      </c>
      <c r="C7" vm="2480">
        <f ca="1"/>
        <v>3798</v>
      </c>
      <c r="D7" vm="2481">
        <f ca="1"/>
        <v>3799.4</v>
      </c>
      <c r="E7" vm="2482">
        <f ca="1"/>
        <v>3720.1</v>
      </c>
      <c r="F7" vm="2465">
        <f ca="1"/>
        <v>3743.8</v>
      </c>
    </row>
    <row r="8" spans="1:241" x14ac:dyDescent="0.4">
      <c r="A8" vm="228">
        <f ca="1"/>
        <v>46049</v>
      </c>
      <c r="B8" vm="2483">
        <f ca="1"/>
        <v>2162193</v>
      </c>
      <c r="C8" vm="2465">
        <f ca="1"/>
        <v>3743.8</v>
      </c>
      <c r="D8" vm="2484">
        <f ca="1"/>
        <v>3815</v>
      </c>
      <c r="E8" vm="2485">
        <f ca="1"/>
        <v>3739</v>
      </c>
      <c r="F8" vm="2466">
        <f ca="1"/>
        <v>3787.8</v>
      </c>
    </row>
    <row r="9" spans="1:241" x14ac:dyDescent="0.4">
      <c r="A9" vm="229">
        <f ca="1"/>
        <v>46050</v>
      </c>
      <c r="B9" vm="2486">
        <f ca="1"/>
        <v>2111741</v>
      </c>
      <c r="C9" vm="2487">
        <f ca="1"/>
        <v>3804.3</v>
      </c>
      <c r="D9" vm="2488">
        <f ca="1"/>
        <v>3828.2</v>
      </c>
      <c r="E9" vm="2489">
        <f ca="1"/>
        <v>3769.1</v>
      </c>
      <c r="F9" vm="2467">
        <f ca="1"/>
        <v>3794</v>
      </c>
    </row>
    <row r="10" spans="1:241" x14ac:dyDescent="0.4">
      <c r="A10" vm="230">
        <f ca="1"/>
        <v>46051</v>
      </c>
      <c r="B10" vm="2490">
        <f ca="1"/>
        <v>4227139</v>
      </c>
      <c r="C10" vm="2491">
        <f ca="1"/>
        <v>3860</v>
      </c>
      <c r="D10" vm="2492">
        <f ca="1"/>
        <v>3960.9</v>
      </c>
      <c r="E10" vm="2493">
        <f ca="1"/>
        <v>3843.6</v>
      </c>
      <c r="F10" vm="2468">
        <f ca="1"/>
        <v>3932.9</v>
      </c>
    </row>
    <row r="11" spans="1:241" x14ac:dyDescent="0.4">
      <c r="A11" vm="231">
        <f ca="1"/>
        <v>46052</v>
      </c>
      <c r="B11" vm="2494">
        <f ca="1"/>
        <v>2208465</v>
      </c>
      <c r="C11" vm="2495">
        <f ca="1"/>
        <v>3902.5</v>
      </c>
      <c r="D11" vm="2496">
        <f ca="1"/>
        <v>3942.4</v>
      </c>
      <c r="E11" vm="2497">
        <f ca="1"/>
        <v>3891.8</v>
      </c>
      <c r="F11" vm="2469">
        <f ca="1"/>
        <v>3932.3</v>
      </c>
    </row>
    <row r="12" spans="1:241" x14ac:dyDescent="0.4">
      <c r="A12" vm="232">
        <f ca="1"/>
        <v>46054</v>
      </c>
      <c r="B12" vm="2498">
        <f ca="1"/>
        <v>2654727</v>
      </c>
      <c r="C12" vm="2499">
        <f ca="1"/>
        <v>3953</v>
      </c>
      <c r="D12" vm="2500">
        <f ca="1"/>
        <v>4042.8</v>
      </c>
      <c r="E12" vm="2501">
        <f ca="1"/>
        <v>3756</v>
      </c>
      <c r="F12" vm="2470">
        <f ca="1"/>
        <v>3814</v>
      </c>
    </row>
    <row r="13" spans="1:241" x14ac:dyDescent="0.4">
      <c r="A13" vm="233">
        <f ca="1"/>
        <v>46055</v>
      </c>
      <c r="B13" vm="2502">
        <f ca="1"/>
        <v>3034613</v>
      </c>
      <c r="C13" vm="2503">
        <f ca="1"/>
        <v>3830.7</v>
      </c>
      <c r="D13" vm="2504">
        <f ca="1"/>
        <v>3934.8</v>
      </c>
      <c r="E13" vm="2505">
        <f ca="1"/>
        <v>3825</v>
      </c>
      <c r="F13" vm="2471">
        <f ca="1"/>
        <v>3921.3</v>
      </c>
    </row>
    <row r="14" spans="1:241" x14ac:dyDescent="0.4">
      <c r="A14" vm="234">
        <f ca="1"/>
        <v>46056</v>
      </c>
      <c r="B14" vm="2506">
        <f ca="1"/>
        <v>3742190</v>
      </c>
      <c r="C14" vm="2507">
        <f ca="1"/>
        <v>4117</v>
      </c>
      <c r="D14" vm="2508">
        <f ca="1"/>
        <v>4122</v>
      </c>
      <c r="E14" vm="2509">
        <f ca="1"/>
        <v>4030.6</v>
      </c>
      <c r="F14" vm="2472">
        <f ca="1"/>
        <v>4038.8</v>
      </c>
    </row>
    <row r="15" spans="1:241" x14ac:dyDescent="0.4">
      <c r="A15" vm="235">
        <f ca="1"/>
        <v>46057</v>
      </c>
      <c r="B15" vm="2510">
        <f ca="1"/>
        <v>1403373</v>
      </c>
      <c r="C15" vm="2511">
        <f ca="1"/>
        <v>4029</v>
      </c>
      <c r="D15" vm="2512">
        <f ca="1"/>
        <v>4107</v>
      </c>
      <c r="E15" vm="2513">
        <f ca="1"/>
        <v>4016.9</v>
      </c>
      <c r="F15" vm="2473">
        <f ca="1"/>
        <v>4087.1</v>
      </c>
    </row>
    <row r="16" spans="1:241" x14ac:dyDescent="0.4">
      <c r="A16" vm="236">
        <f ca="1"/>
        <v>46058</v>
      </c>
      <c r="B16" vm="2514">
        <f ca="1"/>
        <v>1433240</v>
      </c>
      <c r="C16" vm="2515">
        <f ca="1"/>
        <v>4088</v>
      </c>
      <c r="D16" vm="2516">
        <f ca="1"/>
        <v>4088.5</v>
      </c>
      <c r="E16" vm="2517">
        <f ca="1"/>
        <v>4035.9</v>
      </c>
      <c r="F16" vm="2474">
        <f ca="1"/>
        <v>4063.3</v>
      </c>
    </row>
    <row r="17" spans="1:6" x14ac:dyDescent="0.4">
      <c r="A17" vm="237">
        <f ca="1"/>
        <v>46059</v>
      </c>
      <c r="B17" vm="2518">
        <f ca="1"/>
        <v>1630836</v>
      </c>
      <c r="C17" vm="2519">
        <f ca="1"/>
        <v>4055</v>
      </c>
      <c r="D17" vm="2520">
        <f ca="1"/>
        <v>4078</v>
      </c>
      <c r="E17" vm="2521">
        <f ca="1"/>
        <v>4042.3</v>
      </c>
      <c r="F17" vm="2475">
        <f ca="1"/>
        <v>4068.1</v>
      </c>
    </row>
    <row r="18" spans="1:6" x14ac:dyDescent="0.4">
      <c r="A18" vm="238">
        <f ca="1"/>
        <v>46062</v>
      </c>
      <c r="B18" vm="2522">
        <f ca="1"/>
        <v>1830267</v>
      </c>
      <c r="C18" vm="2523">
        <f ca="1"/>
        <v>4073.9</v>
      </c>
      <c r="D18" vm="2524">
        <f ca="1"/>
        <v>4124.7</v>
      </c>
      <c r="E18" vm="2440">
        <f ca="1"/>
        <v>4062.4</v>
      </c>
      <c r="F18" vm="2476">
        <f ca="1"/>
        <v>4113.6000000000004</v>
      </c>
    </row>
    <row r="19" spans="1:6" x14ac:dyDescent="0.4">
      <c r="A19" vm="239">
        <f ca="1"/>
        <v>46063</v>
      </c>
      <c r="B19" vm="2525">
        <f ca="1"/>
        <v>1890409</v>
      </c>
      <c r="C19" vm="2526">
        <f ca="1"/>
        <v>4140</v>
      </c>
      <c r="D19" vm="2527">
        <f ca="1"/>
        <v>4174.6000000000004</v>
      </c>
      <c r="E19" vm="2528">
        <f ca="1"/>
        <v>4122.3999999999996</v>
      </c>
      <c r="F19" vm="2477">
        <f ca="1"/>
        <v>4169</v>
      </c>
    </row>
    <row r="20" spans="1:6" x14ac:dyDescent="0.4">
      <c r="A20" vm="240">
        <f ca="1"/>
        <v>46064</v>
      </c>
      <c r="B20" vm="2529">
        <f ca="1"/>
        <v>1689489</v>
      </c>
      <c r="C20" vm="2530">
        <f ca="1"/>
        <v>4172.8999999999996</v>
      </c>
      <c r="D20" vm="2531">
        <f ca="1"/>
        <v>4187.7</v>
      </c>
      <c r="E20" vm="2532">
        <f ca="1"/>
        <v>4140.3</v>
      </c>
      <c r="F20" vm="2478">
        <f ca="1"/>
        <v>4170.3999999999996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Ledger</vt:lpstr>
      <vt:lpstr>Watchlist</vt:lpstr>
      <vt:lpstr>Dixon</vt:lpstr>
      <vt:lpstr>L&amp;T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Vishakha Asopa</dc:creator>
  <cp:lastModifiedBy>Vishakha Asopa</cp:lastModifiedBy>
  <dcterms:created xsi:type="dcterms:W3CDTF">2026-02-11T12:50:23Z</dcterms:created>
  <dcterms:modified xsi:type="dcterms:W3CDTF">2026-02-22T08:34:14Z</dcterms:modified>
</cp:coreProperties>
</file>